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C:\Users\mcfer\Desktop\Olanda salari\"/>
    </mc:Choice>
  </mc:AlternateContent>
  <xr:revisionPtr revIDLastSave="0" documentId="13_ncr:1_{CE2EE9EF-6FFC-48E6-AA1E-21C6B08786FA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1-Quick Reference" sheetId="1" r:id="rId1"/>
    <sheet name="2-Capability" sheetId="2" r:id="rId2"/>
    <sheet name="3-Ctrl Charts" sheetId="3" r:id="rId3"/>
    <sheet name="4-MSA GRR" sheetId="4" r:id="rId4"/>
    <sheet name="5-Hyp Tests" sheetId="5" r:id="rId5"/>
    <sheet name="6-Regression" sheetId="6" r:id="rId6"/>
    <sheet name="7-DOE Planner" sheetId="7" r:id="rId7"/>
    <sheet name="8-Sampling AQL" sheetId="8" r:id="rId8"/>
    <sheet name="9-Non-Parametric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25" i="9"/>
  <c r="B24" i="9"/>
  <c r="B23" i="9"/>
  <c r="B32" i="9" s="1"/>
  <c r="B33" i="9" s="1"/>
  <c r="B34" i="9" s="1"/>
  <c r="B17" i="8"/>
  <c r="B9" i="8"/>
  <c r="B29" i="7"/>
  <c r="B28" i="7"/>
  <c r="B27" i="7"/>
  <c r="B26" i="7"/>
  <c r="B34" i="7" s="1"/>
  <c r="B25" i="7"/>
  <c r="B33" i="7" s="1"/>
  <c r="B24" i="7"/>
  <c r="B23" i="7"/>
  <c r="B35" i="7" s="1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B45" i="6"/>
  <c r="B44" i="6"/>
  <c r="B42" i="6"/>
  <c r="B39" i="6"/>
  <c r="B38" i="6"/>
  <c r="B37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B44" i="5"/>
  <c r="B43" i="5"/>
  <c r="B45" i="5" s="1"/>
  <c r="B46" i="5" s="1"/>
  <c r="B32" i="5"/>
  <c r="B30" i="5"/>
  <c r="B29" i="5"/>
  <c r="B31" i="5" s="1"/>
  <c r="B33" i="5" s="1"/>
  <c r="B34" i="5" s="1"/>
  <c r="B17" i="5"/>
  <c r="B13" i="5"/>
  <c r="B14" i="5" s="1"/>
  <c r="B12" i="5"/>
  <c r="B15" i="5" s="1"/>
  <c r="B16" i="5" s="1"/>
  <c r="B22" i="4"/>
  <c r="B17" i="4"/>
  <c r="B46" i="3"/>
  <c r="B37" i="3"/>
  <c r="B36" i="3"/>
  <c r="B35" i="3"/>
  <c r="B34" i="3"/>
  <c r="B33" i="3"/>
  <c r="B32" i="3"/>
  <c r="B14" i="3"/>
  <c r="B13" i="3"/>
  <c r="B12" i="3"/>
  <c r="B11" i="3"/>
  <c r="B10" i="3"/>
  <c r="B22" i="2"/>
  <c r="B21" i="2"/>
  <c r="B20" i="2"/>
  <c r="B19" i="2"/>
  <c r="B18" i="2"/>
  <c r="B17" i="2"/>
  <c r="B16" i="2"/>
  <c r="B15" i="2"/>
  <c r="B14" i="2"/>
  <c r="B13" i="2"/>
  <c r="B36" i="7" l="1"/>
  <c r="B32" i="7"/>
  <c r="B46" i="6"/>
  <c r="B40" i="6"/>
  <c r="B41" i="6"/>
  <c r="D11" i="6"/>
  <c r="E11" i="6" s="1"/>
  <c r="D8" i="6"/>
  <c r="E8" i="6" s="1"/>
  <c r="D7" i="6"/>
  <c r="E7" i="6" s="1"/>
  <c r="D5" i="6"/>
  <c r="D16" i="6"/>
  <c r="E16" i="6" s="1"/>
  <c r="D10" i="6"/>
  <c r="E10" i="6" s="1"/>
  <c r="D9" i="6"/>
  <c r="E9" i="6" s="1"/>
  <c r="D6" i="6"/>
  <c r="E6" i="6" s="1"/>
  <c r="D17" i="6"/>
  <c r="E17" i="6" s="1"/>
  <c r="D15" i="6"/>
  <c r="E15" i="6" s="1"/>
  <c r="D14" i="6"/>
  <c r="E14" i="6" s="1"/>
  <c r="D13" i="6"/>
  <c r="E13" i="6" s="1"/>
  <c r="D12" i="6"/>
  <c r="E12" i="6" s="1"/>
  <c r="B18" i="4"/>
  <c r="B19" i="4" s="1"/>
  <c r="B20" i="4" s="1"/>
  <c r="B49" i="3"/>
  <c r="B48" i="3"/>
  <c r="B47" i="3"/>
  <c r="E5" i="6" l="1"/>
  <c r="B43" i="6"/>
  <c r="B21" i="4"/>
  <c r="B23" i="4"/>
  <c r="B28" i="4" l="1"/>
  <c r="B24" i="4"/>
  <c r="B29" i="4"/>
  <c r="B26" i="4"/>
  <c r="B25" i="4"/>
  <c r="B30" i="4" s="1"/>
  <c r="B27" i="4"/>
</calcChain>
</file>

<file path=xl/sharedStrings.xml><?xml version="1.0" encoding="utf-8"?>
<sst xmlns="http://schemas.openxmlformats.org/spreadsheetml/2006/main" count="565" uniqueCount="506">
  <si>
    <t>SIX SIGMA BB — STATISTICAL QUICK REFERENCE</t>
  </si>
  <si>
    <t>Sigma Level</t>
  </si>
  <si>
    <t>DPMO</t>
  </si>
  <si>
    <t>Yield (%)</t>
  </si>
  <si>
    <t>Cpk approx</t>
  </si>
  <si>
    <t>State</t>
  </si>
  <si>
    <t>Beverage Example</t>
  </si>
  <si>
    <t>1σ</t>
  </si>
  <si>
    <t>30.8500%</t>
  </si>
  <si>
    <t>Very Poor</t>
  </si>
  <si>
    <t>Filler out of control</t>
  </si>
  <si>
    <t>2σ</t>
  </si>
  <si>
    <t>69.1500%</t>
  </si>
  <si>
    <t>Poor</t>
  </si>
  <si>
    <t>High fill variation</t>
  </si>
  <si>
    <t>3σ</t>
  </si>
  <si>
    <t>93.3200%</t>
  </si>
  <si>
    <t>Marginal</t>
  </si>
  <si>
    <t>Cpk=1.0 minimum</t>
  </si>
  <si>
    <t>4σ</t>
  </si>
  <si>
    <t>99.3800%</t>
  </si>
  <si>
    <t>Capable</t>
  </si>
  <si>
    <t>Industry standard</t>
  </si>
  <si>
    <t>5σ</t>
  </si>
  <si>
    <t>99.9770%</t>
  </si>
  <si>
    <t>Good</t>
  </si>
  <si>
    <t>Pharma-grade</t>
  </si>
  <si>
    <t>6σ</t>
  </si>
  <si>
    <t>99.9997%</t>
  </si>
  <si>
    <t>World Class</t>
  </si>
  <si>
    <t>Best-in-class</t>
  </si>
  <si>
    <t>Cpk Colour-Code Reference</t>
  </si>
  <si>
    <t>&lt; 1.00</t>
  </si>
  <si>
    <t>Incapable — immediate action</t>
  </si>
  <si>
    <t>1.00–1.33</t>
  </si>
  <si>
    <t>Marginal — improve</t>
  </si>
  <si>
    <t>1.33–1.67</t>
  </si>
  <si>
    <t>Capable — good</t>
  </si>
  <si>
    <t>≥ 1.67</t>
  </si>
  <si>
    <t>Excellent — world class</t>
  </si>
  <si>
    <t>Statistical Tool Selector — Beverage Industry</t>
  </si>
  <si>
    <t>Question</t>
  </si>
  <si>
    <t>Beverage Scenario</t>
  </si>
  <si>
    <t>Tool</t>
  </si>
  <si>
    <t>Tab</t>
  </si>
  <si>
    <t>Is my process capable?</t>
  </si>
  <si>
    <t>Filler vol vs spec</t>
  </si>
  <si>
    <t>Cp / Cpk</t>
  </si>
  <si>
    <t>Tab 2-Capability</t>
  </si>
  <si>
    <t>Is process in control?</t>
  </si>
  <si>
    <t>Brix, pH over time</t>
  </si>
  <si>
    <t>Control Charts</t>
  </si>
  <si>
    <t>Tab 3-Ctrl Charts</t>
  </si>
  <si>
    <t>Is my gauge reliable?</t>
  </si>
  <si>
    <t>Refractometer study</t>
  </si>
  <si>
    <t>Gauge R&amp;R</t>
  </si>
  <si>
    <t>Tab 4-MSA GRR</t>
  </si>
  <si>
    <t>Do 2 means differ?</t>
  </si>
  <si>
    <t>Line A vs B fill vol</t>
  </si>
  <si>
    <t>2-sample t-test</t>
  </si>
  <si>
    <t>Tab 5-Hyp Tests</t>
  </si>
  <si>
    <t>Do ≥3 groups differ?</t>
  </si>
  <si>
    <t>3-shift Brix</t>
  </si>
  <si>
    <t>One-way ANOVA</t>
  </si>
  <si>
    <t>Are vars correlated?</t>
  </si>
  <si>
    <t>Temp vs CO₂ vol</t>
  </si>
  <si>
    <t>Pearson / Spearman r</t>
  </si>
  <si>
    <t>Tab 6-Regression</t>
  </si>
  <si>
    <t>Which factor matters?</t>
  </si>
  <si>
    <t>Pressure/temp/vel</t>
  </si>
  <si>
    <t>DOE Factorial</t>
  </si>
  <si>
    <t>Tab 7-DOE Planner</t>
  </si>
  <si>
    <t>What sample size?</t>
  </si>
  <si>
    <t>Incoming labels (AQL)</t>
  </si>
  <si>
    <t>AQL/ISO 2859-1</t>
  </si>
  <si>
    <t>Tab 8-Sampling AQL</t>
  </si>
  <si>
    <t>Data not normal?</t>
  </si>
  <si>
    <t>Sensory scores</t>
  </si>
  <si>
    <t>Mann-Whitney / KW</t>
  </si>
  <si>
    <t>Tab 9-Non-Param</t>
  </si>
  <si>
    <t>PROCESS CAPABILITY CALCULATOR — Cp / Cpk / Pp / Ppk</t>
  </si>
  <si>
    <t>Enter blue cells only — all results auto-calculate</t>
  </si>
  <si>
    <t>INPUTS — Process Parameters</t>
  </si>
  <si>
    <t>Upper Spec Limit (USL)</t>
  </si>
  <si>
    <t>mL</t>
  </si>
  <si>
    <t>Lower Spec Limit (LSL)</t>
  </si>
  <si>
    <t>Target / Nominal</t>
  </si>
  <si>
    <t>Sample Mean  X̄</t>
  </si>
  <si>
    <t>Within-subgroup σ̂  (= s̄/c₄)</t>
  </si>
  <si>
    <t>Overall σ  (long-term)</t>
  </si>
  <si>
    <t>RESULTS — Capability Indices</t>
  </si>
  <si>
    <t>Tolerance  (USL − LSL)</t>
  </si>
  <si>
    <t>mL — specification range</t>
  </si>
  <si>
    <t>Cp   (short-term potential)</t>
  </si>
  <si>
    <t>Process potential (centred)</t>
  </si>
  <si>
    <t>Cpk  (short-term actual)</t>
  </si>
  <si>
    <t>Min of Cpu and Cpl</t>
  </si>
  <si>
    <t>Cpu  (upper, short-term)</t>
  </si>
  <si>
    <t>Distance to USL</t>
  </si>
  <si>
    <t>Cpl  (lower, short-term)</t>
  </si>
  <si>
    <t>Distance to LSL</t>
  </si>
  <si>
    <t>Pp   (long-term potential)</t>
  </si>
  <si>
    <t>Uses overall sigma</t>
  </si>
  <si>
    <t>Ppk  (long-term actual)</t>
  </si>
  <si>
    <t>Long-term performance</t>
  </si>
  <si>
    <t>Process Centering k (%)</t>
  </si>
  <si>
    <t>0% = perfectly centred</t>
  </si>
  <si>
    <t>DPMO estimate</t>
  </si>
  <si>
    <t>Based on Cpk</t>
  </si>
  <si>
    <t>Rating</t>
  </si>
  <si>
    <t>Auto colour below</t>
  </si>
  <si>
    <t>Beverage Parameters — Typical Cpk Targets</t>
  </si>
  <si>
    <t>Parameter</t>
  </si>
  <si>
    <t>Spec</t>
  </si>
  <si>
    <t>Target Cpk</t>
  </si>
  <si>
    <t>Notes</t>
  </si>
  <si>
    <t>Fill Volume (CSD 500mL)</t>
  </si>
  <si>
    <t>500 ± 4 mL</t>
  </si>
  <si>
    <t>≥ 1.33</t>
  </si>
  <si>
    <t>Legal min-fill requirement</t>
  </si>
  <si>
    <t>Brix (Juice 11.5°Bx)</t>
  </si>
  <si>
    <t>11.5 ± 0.3 °Bx</t>
  </si>
  <si>
    <t>Taste perception threshold</t>
  </si>
  <si>
    <t>Carbonation (CSD)</t>
  </si>
  <si>
    <t>3.0 ± 0.3 vol CO₂</t>
  </si>
  <si>
    <t>Pressure-temp dependent</t>
  </si>
  <si>
    <t>pH (soft drink)</t>
  </si>
  <si>
    <t>3.2 ± 0.2</t>
  </si>
  <si>
    <t>Microbial stability critical</t>
  </si>
  <si>
    <t>ABV (beer 5%)</t>
  </si>
  <si>
    <t>5.0 ± 0.3%</t>
  </si>
  <si>
    <t>Legal / excise compliance</t>
  </si>
  <si>
    <t>Turbidity (&lt;0.5 NTU)</t>
  </si>
  <si>
    <t>&lt; 0.5 NTU (one-sided)</t>
  </si>
  <si>
    <t>Cpu ≥ 1.33</t>
  </si>
  <si>
    <t>No LSL — use Cpu only</t>
  </si>
  <si>
    <t>Headspace (canned)</t>
  </si>
  <si>
    <t>≥ 4 mm (one-sided)</t>
  </si>
  <si>
    <t>Cpl ≥ 1.33</t>
  </si>
  <si>
    <t>No USL — use Cpl only</t>
  </si>
  <si>
    <t>Dissolved O₂ (beer)</t>
  </si>
  <si>
    <t>&lt; 50 ppb (one-sided)</t>
  </si>
  <si>
    <t>Cpu ≥ 1.67</t>
  </si>
  <si>
    <t>Shelf life impact</t>
  </si>
  <si>
    <t>CONTROL CHARTS CALCULATOR — I-MR / X-bar R / P-chart</t>
  </si>
  <si>
    <t>Enter blue cells — control limits auto-calculate</t>
  </si>
  <si>
    <t>I-MR CHART — Individuals &amp; Moving Range  (n=1 per timepoint)</t>
  </si>
  <si>
    <t>Process mean  X̄</t>
  </si>
  <si>
    <t>°Bx</t>
  </si>
  <si>
    <t>Juice Brix target</t>
  </si>
  <si>
    <t>Estimated σ̂  (= R̄/d₂  where d₂=1.128)</t>
  </si>
  <si>
    <t>R̄/1.128</t>
  </si>
  <si>
    <t>3σ multiplier (default=3)</t>
  </si>
  <si>
    <t>—</t>
  </si>
  <si>
    <t>Use 2 for early warning</t>
  </si>
  <si>
    <t>I-MR — Control Limits</t>
  </si>
  <si>
    <t>UCL (Individuals)</t>
  </si>
  <si>
    <t>Action if above</t>
  </si>
  <si>
    <t>CL  (Centre Line)</t>
  </si>
  <si>
    <t>Process mean</t>
  </si>
  <si>
    <t>LCL (Individuals)</t>
  </si>
  <si>
    <t>Action if below (floored at 0)</t>
  </si>
  <si>
    <t>UCL (Moving Range)</t>
  </si>
  <si>
    <t>D₄=3.267 × d₂=1.128 × σ̂</t>
  </si>
  <si>
    <t>MR̄  (avg MR)</t>
  </si>
  <si>
    <t>d2 x sigma_hat (reference constant)</t>
  </si>
  <si>
    <t>X-BAR R CHART — Subgroup n = 2 to 8</t>
  </si>
  <si>
    <t>Subgroup size n</t>
  </si>
  <si>
    <t>Grand mean X̄̄</t>
  </si>
  <si>
    <t>Average range R̄</t>
  </si>
  <si>
    <t>Control Chart Constants  (for n=2 to 8)</t>
  </si>
  <si>
    <t>n</t>
  </si>
  <si>
    <t>A₂</t>
  </si>
  <si>
    <t>D₃</t>
  </si>
  <si>
    <t>D₄</t>
  </si>
  <si>
    <t>d₂</t>
  </si>
  <si>
    <t>c₄</t>
  </si>
  <si>
    <t>X-bar R — Control Limits  (n=5 constants: A₂=0.577, D₄=2.114)</t>
  </si>
  <si>
    <t>UCL (X-bar)</t>
  </si>
  <si>
    <t>A₂ × R̄</t>
  </si>
  <si>
    <t>CL  (X-bar)</t>
  </si>
  <si>
    <t>Grand mean</t>
  </si>
  <si>
    <t>LCL (X-bar)</t>
  </si>
  <si>
    <t>UCL (R)</t>
  </si>
  <si>
    <t>D₄ × R̄</t>
  </si>
  <si>
    <t>LCL (R)</t>
  </si>
  <si>
    <t>D₃=0 for n≤6</t>
  </si>
  <si>
    <t>Estimated σ̂  (within)</t>
  </si>
  <si>
    <t>R̄/d₂ for n=5</t>
  </si>
  <si>
    <t>P-CHART — Proportion Defective  (varying subgroup size n)</t>
  </si>
  <si>
    <t>Total defectives  Σd</t>
  </si>
  <si>
    <t>units</t>
  </si>
  <si>
    <t>Sum across all subgroups</t>
  </si>
  <si>
    <t>Total inspected  Σn</t>
  </si>
  <si>
    <t>Total lot inspected</t>
  </si>
  <si>
    <t>Typical subgroup size n</t>
  </si>
  <si>
    <t>For typical UCL/LCL</t>
  </si>
  <si>
    <t>3σ multiplier</t>
  </si>
  <si>
    <t>Standard = 3</t>
  </si>
  <si>
    <t>P-Chart — Control Limits</t>
  </si>
  <si>
    <t>p̄  (process proportion)</t>
  </si>
  <si>
    <t>Overall fraction defective</t>
  </si>
  <si>
    <t>UCL (typical n)</t>
  </si>
  <si>
    <t>Varies with actual n per point</t>
  </si>
  <si>
    <t>LCL (typical n)</t>
  </si>
  <si>
    <t>Often 0 when p̄ is small</t>
  </si>
  <si>
    <t>p̄ as % (for chart axis)</t>
  </si>
  <si>
    <t>Multiply by 100</t>
  </si>
  <si>
    <t>GAUGE R&amp;R CALCULATOR — Measurement System Analysis</t>
  </si>
  <si>
    <t>AIAG Short Method — 2 operators × 10 parts × 2 replicates</t>
  </si>
  <si>
    <t>INPUTS</t>
  </si>
  <si>
    <t>Operators  k</t>
  </si>
  <si>
    <t>Parts  p</t>
  </si>
  <si>
    <t>Replicates  r</t>
  </si>
  <si>
    <t>R̄  (avg range within operators)</t>
  </si>
  <si>
    <t>X̄ diff  (range of operator averages)</t>
  </si>
  <si>
    <t>Part range  Rp</t>
  </si>
  <si>
    <t>Tolerance  (USL−LSL)</t>
  </si>
  <si>
    <t>Process σ  (from capability study)</t>
  </si>
  <si>
    <t>d₂* repeatability</t>
  </si>
  <si>
    <t>d₂* reproducibility</t>
  </si>
  <si>
    <t>RESULTS — Gauge R&amp;R Components</t>
  </si>
  <si>
    <t>σ Repeatability  (EV)</t>
  </si>
  <si>
    <t>Equipment (within-operator) variation</t>
  </si>
  <si>
    <t>σ² Reproducibility — raw</t>
  </si>
  <si>
    <t>AV² minus EV portion</t>
  </si>
  <si>
    <t>σ Reproducibility  (AV)</t>
  </si>
  <si>
    <t>Appraiser (between-operator) variation</t>
  </si>
  <si>
    <t>σ² GRR  (EV²+AV²)</t>
  </si>
  <si>
    <t>Combined measurement variation</t>
  </si>
  <si>
    <t>σ GRR</t>
  </si>
  <si>
    <t>Total gauge R&amp;R</t>
  </si>
  <si>
    <t>σ Part-to-Part  (PV)</t>
  </si>
  <si>
    <t>True process variation</t>
  </si>
  <si>
    <t>TV  (total variation)</t>
  </si>
  <si>
    <t>sqrt(GRR²+PV²)</t>
  </si>
  <si>
    <t>%GRR  (of total var)</t>
  </si>
  <si>
    <t>Target: &lt;10% excellent</t>
  </si>
  <si>
    <t>%EV</t>
  </si>
  <si>
    <t>Repeatability share</t>
  </si>
  <si>
    <t>%AV</t>
  </si>
  <si>
    <t>Reproducibility share</t>
  </si>
  <si>
    <t>%PV</t>
  </si>
  <si>
    <t>Part-to-part share</t>
  </si>
  <si>
    <t>ndc  (distinct categories)</t>
  </si>
  <si>
    <t>Target: ≥ 5</t>
  </si>
  <si>
    <t>%GRR of Tolerance</t>
  </si>
  <si>
    <t>Tolerance-based criterion</t>
  </si>
  <si>
    <t>Verdict</t>
  </si>
  <si>
    <t>AIAG criterion</t>
  </si>
  <si>
    <t>Cohen's Kappa — Attribute MSA Thresholds</t>
  </si>
  <si>
    <t>κ Range</t>
  </si>
  <si>
    <t>Action</t>
  </si>
  <si>
    <t>κ &gt; 0.90</t>
  </si>
  <si>
    <t>Excellent</t>
  </si>
  <si>
    <t>Acceptable — deploy gauge</t>
  </si>
  <si>
    <t>0.70 &lt; κ ≤ 0.90</t>
  </si>
  <si>
    <t>Marginal — retraining recommended</t>
  </si>
  <si>
    <t>0.50 &lt; κ ≤ 0.70</t>
  </si>
  <si>
    <t>Fair</t>
  </si>
  <si>
    <t>Review training and method</t>
  </si>
  <si>
    <t>κ ≤ 0.50</t>
  </si>
  <si>
    <t>Reject — do not use gauge</t>
  </si>
  <si>
    <t>HYPOTHESIS TESTS — 1-Sample t / 2-Sample t / Paired t</t>
  </si>
  <si>
    <t>Enter blue cells — t-statistic and p-value auto-calculate</t>
  </si>
  <si>
    <t>1-SAMPLE t-TEST  (Is the mean equal to target?)</t>
  </si>
  <si>
    <t>Sample mean X̄</t>
  </si>
  <si>
    <t>%ABV</t>
  </si>
  <si>
    <t>Hypothesised mean μ₀</t>
  </si>
  <si>
    <t>Std dev  s</t>
  </si>
  <si>
    <t>Sample size  n</t>
  </si>
  <si>
    <t>Significance α</t>
  </si>
  <si>
    <t>1-Sample t — Results</t>
  </si>
  <si>
    <t>t-statistic</t>
  </si>
  <si>
    <t>t=(X̄−μ₀)/(s/√n)</t>
  </si>
  <si>
    <t>Degrees of freedom</t>
  </si>
  <si>
    <t>df=n−1</t>
  </si>
  <si>
    <t>Critical value  t(α/2,df)</t>
  </si>
  <si>
    <t>Two-tailed</t>
  </si>
  <si>
    <t>p-value  (two-tailed)</t>
  </si>
  <si>
    <t>p&lt;α → reject H₀</t>
  </si>
  <si>
    <t>Decision</t>
  </si>
  <si>
    <t>Batch action</t>
  </si>
  <si>
    <t>2-SAMPLE t-TEST  (Welch — compare two independent means)</t>
  </si>
  <si>
    <t>Mean X̄₁ (Line A)</t>
  </si>
  <si>
    <t>Mean X̄₂ (Line B)</t>
  </si>
  <si>
    <t>Std dev s₁</t>
  </si>
  <si>
    <t>Std dev s₂</t>
  </si>
  <si>
    <t>Sample size n₁</t>
  </si>
  <si>
    <t>Sample size n₂</t>
  </si>
  <si>
    <t>α</t>
  </si>
  <si>
    <t>2-Sample t — Results</t>
  </si>
  <si>
    <t>Difference  X̄₁−X̄₂</t>
  </si>
  <si>
    <t>SE of difference</t>
  </si>
  <si>
    <t>Standard error</t>
  </si>
  <si>
    <t>t-statistic (Welch)</t>
  </si>
  <si>
    <t>Welch's formula</t>
  </si>
  <si>
    <t>Welch df</t>
  </si>
  <si>
    <t>Satterthwaite</t>
  </si>
  <si>
    <t>p-value</t>
  </si>
  <si>
    <t>p&lt;α → means differ</t>
  </si>
  <si>
    <t>PAIRED t-TEST  (before/after comparison — same units)</t>
  </si>
  <si>
    <t>Mean of differences  d̄</t>
  </si>
  <si>
    <t>NTU</t>
  </si>
  <si>
    <t>Std dev of differences  sd</t>
  </si>
  <si>
    <t>Pairs  n</t>
  </si>
  <si>
    <t>Paired t — Results</t>
  </si>
  <si>
    <t>REGRESSION &amp; CORRELATION CALCULATOR</t>
  </si>
  <si>
    <t>Enter X and Y data below — regression and Pearson r auto-calculate</t>
  </si>
  <si>
    <t>#</t>
  </si>
  <si>
    <t>X  (e.g. Temperature °C)</t>
  </si>
  <si>
    <t>Y  (e.g. Brix deviation)</t>
  </si>
  <si>
    <t>Ŷ  (predicted)</t>
  </si>
  <si>
    <t>Residual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</si>
  <si>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</si>
  <si>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</si>
  <si>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</si>
  <si>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</si>
  <si>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</si>
  <si>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</si>
  <si>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</si>
  <si>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</si>
  <si>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</si>
  <si>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</si>
  <si>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</si>
  <si>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</si>
  <si>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</si>
  <si>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</si>
  <si>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</si>
  <si>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</si>
  <si>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</si>
  <si>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</si>
  <si>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</si>
  <si>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</si>
  <si>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</si>
  <si>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</si>
  <si>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</si>
  <si>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</si>
  <si>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</si>
  <si>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</si>
  <si>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</si>
  <si>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</si>
  <si>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</si>
  <si>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</si>
  <si>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REGRESSION RESULTS  (auto-computed)</t>
  </si>
  <si>
    <t>Slope  β₁</t>
  </si>
  <si>
    <t>Intercept  β₀</t>
  </si>
  <si>
    <t>Pearson  r</t>
  </si>
  <si>
    <t>R²</t>
  </si>
  <si>
    <t>Adjusted R²</t>
  </si>
  <si>
    <t>n (observations)</t>
  </si>
  <si>
    <t>Residual SE</t>
  </si>
  <si>
    <t>Equation</t>
  </si>
  <si>
    <t>Strength</t>
  </si>
  <si>
    <t>Significant?</t>
  </si>
  <si>
    <t>DOE FACTORIAL PLANNER — 2³ Full Factorial</t>
  </si>
  <si>
    <t>CO₂ Carbonation Optimisation — 3 factors × 2 levels</t>
  </si>
  <si>
    <t>FACTOR SETTINGS  (enter Low and High levels)</t>
  </si>
  <si>
    <t>Factor</t>
  </si>
  <si>
    <t>Name</t>
  </si>
  <si>
    <t>Low (−1)</t>
  </si>
  <si>
    <t>High (+1)</t>
  </si>
  <si>
    <t>Units</t>
  </si>
  <si>
    <t>A</t>
  </si>
  <si>
    <t>CO₂ Pressure</t>
  </si>
  <si>
    <t>bar</t>
  </si>
  <si>
    <t>B</t>
  </si>
  <si>
    <t>Temperature</t>
  </si>
  <si>
    <t>°C</t>
  </si>
  <si>
    <t>C</t>
  </si>
  <si>
    <t>Flow Velocity</t>
  </si>
  <si>
    <t>m/s</t>
  </si>
  <si>
    <t>DESIGN MATRIX  (Yates standard order) — enter Y values in column H</t>
  </si>
  <si>
    <t>Run</t>
  </si>
  <si>
    <t>AB</t>
  </si>
  <si>
    <t>AC</t>
  </si>
  <si>
    <t>BC</t>
  </si>
  <si>
    <t>Y (observed)</t>
  </si>
  <si>
    <t>EFFECTS CALCULATION  (auto)</t>
  </si>
  <si>
    <t>Effect</t>
  </si>
  <si>
    <t>Estimate  Δ Y</t>
  </si>
  <si>
    <t>Interpretation</t>
  </si>
  <si>
    <t>Grand Mean  Ȳ</t>
  </si>
  <si>
    <t>Overall mean CO₂ volume</t>
  </si>
  <si>
    <t>A  (Pressure)</t>
  </si>
  <si>
    <t>Main effect: pressure</t>
  </si>
  <si>
    <t>B  (Temperature)</t>
  </si>
  <si>
    <t>Main effect: temperature</t>
  </si>
  <si>
    <t>C  (Velocity)</t>
  </si>
  <si>
    <t>Main effect: velocity</t>
  </si>
  <si>
    <t>AB  (Pressure×Temp)</t>
  </si>
  <si>
    <t>2-factor interaction</t>
  </si>
  <si>
    <t>AC  (Pressure×Vel)</t>
  </si>
  <si>
    <t>BC  (Temp×Vel)</t>
  </si>
  <si>
    <t>OPTIMAL SETTINGS  (to maximise response Y)</t>
  </si>
  <si>
    <t>Best level for A</t>
  </si>
  <si>
    <t>Best level for B</t>
  </si>
  <si>
    <t>Best level for C</t>
  </si>
  <si>
    <t>Predicted Ŷ  (optimal)</t>
  </si>
  <si>
    <t>Dominant factor</t>
  </si>
  <si>
    <t>SAMPLING PLAN CALCULATOR — AQL / ISO 2859-1 / Sample Size</t>
  </si>
  <si>
    <t>Attribute sampling — incoming inspection — beverage industry</t>
  </si>
  <si>
    <t>SAMPLE SIZE — Estimating Mean  (continuous data)</t>
  </si>
  <si>
    <t>Z score (95% CI = 1.96, 99% = 2.576)</t>
  </si>
  <si>
    <t>Change for different CI</t>
  </si>
  <si>
    <t>Process std deviation  σ</t>
  </si>
  <si>
    <t>From Cpk study or historical</t>
  </si>
  <si>
    <t>Acceptable margin of error  E</t>
  </si>
  <si>
    <t>Half-width of CI</t>
  </si>
  <si>
    <t>Required n  (mean estimation)</t>
  </si>
  <si>
    <t>n = Z²σ²/E²  — round up</t>
  </si>
  <si>
    <t>SAMPLE SIZE — Detecting Difference in Proportions</t>
  </si>
  <si>
    <t>p₀  (baseline / acceptable rate)</t>
  </si>
  <si>
    <t>p₁  (unacceptable / detectable rate)</t>
  </si>
  <si>
    <t>Zα  (α=0.05 one-sided → 1.645)</t>
  </si>
  <si>
    <t>Zβ  (power=80% → 0.842; 90% → 1.282)</t>
  </si>
  <si>
    <t>Required n  (proportion test)</t>
  </si>
  <si>
    <t>AQL Reference — ISO 2859-1  Normal Inspection Level II</t>
  </si>
  <si>
    <t>Lot Size Range</t>
  </si>
  <si>
    <t>Code Letter</t>
  </si>
  <si>
    <t>n  (sample)</t>
  </si>
  <si>
    <t>Ac  (accept)</t>
  </si>
  <si>
    <t>2–8</t>
  </si>
  <si>
    <t>9–15</t>
  </si>
  <si>
    <t>16–25</t>
  </si>
  <si>
    <t>26–50</t>
  </si>
  <si>
    <t>D</t>
  </si>
  <si>
    <t>51–90</t>
  </si>
  <si>
    <t>E</t>
  </si>
  <si>
    <t>91–150</t>
  </si>
  <si>
    <t>F</t>
  </si>
  <si>
    <t>151–280</t>
  </si>
  <si>
    <t>G</t>
  </si>
  <si>
    <t>281–500</t>
  </si>
  <si>
    <t>H</t>
  </si>
  <si>
    <t>501–1200</t>
  </si>
  <si>
    <t>J</t>
  </si>
  <si>
    <t>1201–3200</t>
  </si>
  <si>
    <t>K</t>
  </si>
  <si>
    <t>3201–10000</t>
  </si>
  <si>
    <t>L</t>
  </si>
  <si>
    <t>10001–35000</t>
  </si>
  <si>
    <t>M</t>
  </si>
  <si>
    <t>NON-PARAMETRIC TESTS — Mann-Whitney U</t>
  </si>
  <si>
    <t>Use when data is ordinal, non-normal, or n &lt; 15</t>
  </si>
  <si>
    <t>MANN-WHITNEY U TEST — Two Independent Groups</t>
  </si>
  <si>
    <t>Group A  (Design A)</t>
  </si>
  <si>
    <t>Group B  (Design B)</t>
  </si>
  <si>
    <t>Obs 1</t>
  </si>
  <si>
    <t>Obs 2</t>
  </si>
  <si>
    <t>Obs 3</t>
  </si>
  <si>
    <t>Obs 4</t>
  </si>
  <si>
    <t>Obs 5</t>
  </si>
  <si>
    <t>Obs 6</t>
  </si>
  <si>
    <t>Obs 7</t>
  </si>
  <si>
    <t>Obs 8</t>
  </si>
  <si>
    <t>Obs 9</t>
  </si>
  <si>
    <t>Obs 10</t>
  </si>
  <si>
    <t>Obs 11</t>
  </si>
  <si>
    <t>Obs 12</t>
  </si>
  <si>
    <t>Obs 13</t>
  </si>
  <si>
    <t>Obs 14</t>
  </si>
  <si>
    <t>Obs 15</t>
  </si>
  <si>
    <t>Summary Statistics</t>
  </si>
  <si>
    <t>n₁  (Group A)</t>
  </si>
  <si>
    <t>n₂  (Group B)</t>
  </si>
  <si>
    <t>Median Group A</t>
  </si>
  <si>
    <t>Use median — not mean for MW</t>
  </si>
  <si>
    <t>Median Group B</t>
  </si>
  <si>
    <t>Mean Group A</t>
  </si>
  <si>
    <t>Reference only</t>
  </si>
  <si>
    <t>Mean Group B</t>
  </si>
  <si>
    <t>IQR Group A</t>
  </si>
  <si>
    <t>Interquartile range</t>
  </si>
  <si>
    <t>IQR Group B</t>
  </si>
  <si>
    <t>U statistic (manual entry)</t>
  </si>
  <si>
    <t>Enter U from SPSS/Minitab/R</t>
  </si>
  <si>
    <t>Z  (large-sample approx)</t>
  </si>
  <si>
    <t>Valid when n≥10</t>
  </si>
  <si>
    <t>p-value  (two-tailed, approx)</t>
  </si>
  <si>
    <t>Approximate for n≥10</t>
  </si>
  <si>
    <t>Data Transformation Guide — When and How</t>
  </si>
  <si>
    <t>Data Type</t>
  </si>
  <si>
    <t>Problem</t>
  </si>
  <si>
    <t>Transformation</t>
  </si>
  <si>
    <t>Right-skewed continuous</t>
  </si>
  <si>
    <t>High skewness</t>
  </si>
  <si>
    <t>Log — use =LN(A2)</t>
  </si>
  <si>
    <t>Microbial counts CFU/mL</t>
  </si>
  <si>
    <t>Count data (Poisson-like)</t>
  </si>
  <si>
    <t>Variance=mean</t>
  </si>
  <si>
    <t>Square root — =SQRT(A2)</t>
  </si>
  <si>
    <t>Defects per unit</t>
  </si>
  <si>
    <t>Proportions 0–1</t>
  </si>
  <si>
    <t>Bounded range</t>
  </si>
  <si>
    <t>Arcsine — =ASIN(SQRT(A2))</t>
  </si>
  <si>
    <t>% defective, % alcohol</t>
  </si>
  <si>
    <t>Survival / shelf life</t>
  </si>
  <si>
    <t>Censored data</t>
  </si>
  <si>
    <t>Weibull  (use Minitab)</t>
  </si>
  <si>
    <t>Days to spoilage</t>
  </si>
  <si>
    <t>Ordinal sensory data</t>
  </si>
  <si>
    <t>Not interval scale</t>
  </si>
  <si>
    <t>None — use Mann-Whitney</t>
  </si>
  <si>
    <t>Consumer liking 1–10</t>
  </si>
  <si>
    <t>Beverage Industry Edition - Matteo Ferrini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</si>
</sst>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24" x14ac:knownFonts="1">
    <font>
      <sz val="11"/>
      <color theme="1"/>
      <name val="Calibri"/>
      <family val="2"/>
      <charset val="1"/>
    </font>
    <font>
      <b/>
      <sz val="14"/>
      <color rgb="FFF0F6FF"/>
      <name val="Arial"/>
      <family val="2"/>
    </font>
    <font>
      <b/>
      <sz val="10"/>
      <color rgb="FFF0F6FF"/>
      <name val="Arial"/>
      <family val="2"/>
    </font>
    <font>
      <b/>
      <sz val="10"/>
      <color rgb="FFB8CFE6"/>
      <name val="Arial"/>
      <family val="2"/>
    </font>
    <font>
      <b/>
      <sz val="11"/>
      <color rgb="FFD94F4F"/>
      <name val="Arial"/>
      <family val="2"/>
    </font>
    <font>
      <sz val="10"/>
      <color rgb="FF2C2C2C"/>
      <name val="Arial"/>
      <family val="2"/>
    </font>
    <font>
      <b/>
      <sz val="10"/>
      <color rgb="FF2C2C2C"/>
      <name val="Arial"/>
      <family val="2"/>
    </font>
    <font>
      <b/>
      <sz val="10"/>
      <color rgb="FFD94F4F"/>
      <name val="Arial"/>
      <family val="2"/>
    </font>
    <font>
      <b/>
      <sz val="11"/>
      <color rgb="FFF0A832"/>
      <name val="Arial"/>
      <family val="2"/>
    </font>
    <font>
      <b/>
      <sz val="10"/>
      <color rgb="FFF0A832"/>
      <name val="Arial"/>
      <family val="2"/>
    </font>
    <font>
      <b/>
      <sz val="11"/>
      <color rgb="FF27A876"/>
      <name val="Arial"/>
      <family val="2"/>
    </font>
    <font>
      <b/>
      <sz val="10"/>
      <color rgb="FF27A876"/>
      <name val="Arial"/>
      <family val="2"/>
    </font>
    <font>
      <b/>
      <sz val="11"/>
      <color rgb="FF2D8FDD"/>
      <name val="Arial"/>
      <family val="2"/>
    </font>
    <font>
      <b/>
      <sz val="10"/>
      <color rgb="FF2D8FDD"/>
      <name val="Arial"/>
      <family val="2"/>
    </font>
    <font>
      <sz val="10"/>
      <color rgb="FF7A9AB8"/>
      <name val="Arial"/>
      <family val="2"/>
    </font>
    <font>
      <b/>
      <sz val="13"/>
      <color rgb="FFF0F6FF"/>
      <name val="Arial"/>
      <family val="2"/>
    </font>
    <font>
      <b/>
      <sz val="10"/>
      <color rgb="FF00008B"/>
      <name val="Arial"/>
      <family val="2"/>
    </font>
    <font>
      <b/>
      <sz val="10"/>
      <color rgb="FF1A5C2E"/>
      <name val="Arial"/>
      <family val="2"/>
    </font>
    <font>
      <i/>
      <sz val="9"/>
      <color rgb="FF7A9AB8"/>
      <name val="Arial"/>
      <family val="2"/>
    </font>
    <font>
      <sz val="10"/>
      <color rgb="FF1A5C2E"/>
      <name val="Arial"/>
      <family val="2"/>
    </font>
    <font>
      <sz val="10"/>
      <color rgb="FF555555"/>
      <name val="Arial"/>
      <family val="2"/>
    </font>
    <font>
      <b/>
      <sz val="11"/>
      <color rgb="FF00008B"/>
      <name val="Arial"/>
      <family val="2"/>
    </font>
    <font>
      <b/>
      <sz val="11"/>
      <color rgb="FF1A5C2E"/>
      <name val="Arial"/>
      <family val="2"/>
    </font>
    <font>
      <b/>
      <sz val="10"/>
      <color rgb="FF8B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E1C2E"/>
        <bgColor rgb="FF162438"/>
      </patternFill>
    </fill>
    <fill>
      <patternFill patternType="solid">
        <fgColor rgb="FF162438"/>
        <bgColor rgb="FF0E1C2E"/>
      </patternFill>
    </fill>
    <fill>
      <patternFill patternType="solid">
        <fgColor rgb="FF1E2F44"/>
        <bgColor rgb="FF162438"/>
      </patternFill>
    </fill>
    <fill>
      <patternFill patternType="solid">
        <fgColor rgb="FFF8FAFB"/>
        <bgColor rgb="FFF5F5F5"/>
      </patternFill>
    </fill>
    <fill>
      <patternFill patternType="solid">
        <fgColor rgb="FFEBF4FF"/>
        <bgColor rgb="FFF0F6FF"/>
      </patternFill>
    </fill>
    <fill>
      <patternFill patternType="solid">
        <fgColor rgb="FFFFFFFF"/>
        <bgColor rgb="FFF8FAFB"/>
      </patternFill>
    </fill>
    <fill>
      <patternFill patternType="solid">
        <fgColor rgb="FFF0FFF4"/>
        <bgColor rgb="FFE8FFE8"/>
      </patternFill>
    </fill>
    <fill>
      <patternFill patternType="solid">
        <fgColor rgb="FFFFE8E8"/>
        <bgColor rgb="FFF5F5F5"/>
      </patternFill>
    </fill>
    <fill>
      <patternFill patternType="solid">
        <fgColor rgb="FFF5F5F5"/>
        <bgColor rgb="FFF0F6FF"/>
      </patternFill>
    </fill>
    <fill>
      <patternFill patternType="solid">
        <fgColor rgb="FFE8FFE8"/>
        <bgColor rgb="FFF0FFF4"/>
      </patternFill>
    </fill>
  </fills>
  <borders count="3">
    <border>
      <left/>
      <right/>
      <top/>
      <bottom/>
      <diagonal/>
    </border>
    <border>
      <left style="thin">
        <color rgb="FFBCC8D4"/>
      </left>
      <right/>
      <top style="thin">
        <color rgb="FFBCC8D4"/>
      </top>
      <bottom style="thin">
        <color rgb="FFBCC8D4"/>
      </bottom>
      <diagonal/>
    </border>
    <border>
      <left style="thin">
        <color rgb="FFBCC8D4"/>
      </left>
      <right style="thin">
        <color rgb="FFBCC8D4"/>
      </right>
      <top style="thin">
        <color rgb="FFBCC8D4"/>
      </top>
      <bottom style="thin">
        <color rgb="FFBCC8D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164" fontId="17" fillId="8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 wrapText="1"/>
    </xf>
    <xf numFmtId="2" fontId="17" fillId="8" borderId="2" xfId="0" applyNumberFormat="1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65" fontId="17" fillId="8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1" fontId="17" fillId="8" borderId="2" xfId="0" applyNumberFormat="1" applyFont="1" applyFill="1" applyBorder="1" applyAlignment="1">
      <alignment horizontal="center"/>
    </xf>
    <xf numFmtId="166" fontId="17" fillId="8" borderId="2" xfId="0" applyNumberFormat="1" applyFont="1" applyFill="1" applyBorder="1" applyAlignment="1">
      <alignment horizontal="center"/>
    </xf>
    <xf numFmtId="167" fontId="17" fillId="8" borderId="2" xfId="0" applyNumberFormat="1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/>
    </xf>
    <xf numFmtId="166" fontId="19" fillId="8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2" fontId="21" fillId="6" borderId="2" xfId="0" applyNumberFormat="1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 vertical="center"/>
    </xf>
    <xf numFmtId="164" fontId="22" fillId="8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FFFFFF"/>
        <name val="Arial"/>
        <charset val="1"/>
      </font>
      <fill>
        <patternFill>
          <bgColor rgb="FFD94F4F"/>
        </patternFill>
      </fill>
    </dxf>
    <dxf>
      <font>
        <b/>
        <color rgb="FFFFFFFF"/>
        <name val="Arial"/>
        <charset val="1"/>
      </font>
      <fill>
        <patternFill>
          <bgColor rgb="FFF0A832"/>
        </patternFill>
      </fill>
    </dxf>
    <dxf>
      <font>
        <b/>
        <color rgb="FFFFFFFF"/>
        <name val="Arial"/>
        <charset val="1"/>
      </font>
      <fill>
        <patternFill>
          <bgColor rgb="FF27A876"/>
        </patternFill>
      </fill>
    </dxf>
    <dxf>
      <font>
        <b/>
        <color rgb="FFFFFFFF"/>
        <name val="Arial"/>
        <charset val="1"/>
      </font>
      <fill>
        <patternFill>
          <bgColor rgb="FF27A876"/>
        </patternFill>
      </fill>
    </dxf>
    <dxf>
      <font>
        <b/>
        <color rgb="FFFFFFFF"/>
        <name val="Arial"/>
        <charset val="1"/>
      </font>
      <fill>
        <patternFill>
          <bgColor rgb="FFF0A832"/>
        </patternFill>
      </fill>
    </dxf>
    <dxf>
      <font>
        <b/>
        <color rgb="FFFFFFFF"/>
        <name val="Arial"/>
        <charset val="1"/>
      </font>
      <fill>
        <patternFill>
          <bgColor rgb="FFD94F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A5C2E"/>
      <rgbColor rgb="FF00008B"/>
      <rgbColor rgb="FF808000"/>
      <rgbColor rgb="FF800080"/>
      <rgbColor rgb="FF008080"/>
      <rgbColor rgb="FFBCC8D4"/>
      <rgbColor rgb="FF808080"/>
      <rgbColor rgb="FF9999FF"/>
      <rgbColor rgb="FF993366"/>
      <rgbColor rgb="FFF0FFF4"/>
      <rgbColor rgb="FFE8FFE8"/>
      <rgbColor rgb="FF660066"/>
      <rgbColor rgb="FFFF8080"/>
      <rgbColor rgb="FF0066CC"/>
      <rgbColor rgb="FFB8C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F0F6FF"/>
      <rgbColor rgb="FFFFE8E8"/>
      <rgbColor rgb="FFF8FAFB"/>
      <rgbColor rgb="FFFF99CC"/>
      <rgbColor rgb="FFCC99FF"/>
      <rgbColor rgb="FFF5F5F5"/>
      <rgbColor rgb="FF2D8FDD"/>
      <rgbColor rgb="FF33CCCC"/>
      <rgbColor rgb="FF99CC00"/>
      <rgbColor rgb="FFFFCC00"/>
      <rgbColor rgb="FFF0A832"/>
      <rgbColor rgb="FFD94F4F"/>
      <rgbColor rgb="FF555555"/>
      <rgbColor rgb="FF7A9AB8"/>
      <rgbColor rgb="FF1E2F44"/>
      <rgbColor rgb="FF27A876"/>
      <rgbColor rgb="FF0E1C2E"/>
      <rgbColor rgb="FF162438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Normal="100" workbookViewId="0">
      <pane ySplit="3" topLeftCell="A16" activePane="bottomLeft" state="frozen"/>
      <selection pane="bottomLeft" activeCell="A2" sqref="A2:F2"/>
    </sheetView>
  </sheetViews>
  <sheetFormatPr defaultColWidth="8.6640625" defaultRowHeight="14.4" x14ac:dyDescent="0.3"/>
  <cols>
    <col min="1" max="1" width="20.5546875" bestFit="1" customWidth="1"/>
    <col min="2" max="2" width="19.21875" bestFit="1" customWidth="1"/>
    <col min="3" max="3" width="20.21875" bestFit="1" customWidth="1"/>
    <col min="4" max="4" width="18" bestFit="1" customWidth="1"/>
    <col min="5" max="5" width="11.6640625" bestFit="1" customWidth="1"/>
    <col min="6" max="6" width="17.33203125" bestFit="1" customWidth="1"/>
  </cols>
  <sheetData>
    <row r="1" spans="1:6" ht="31.5" customHeight="1" x14ac:dyDescent="0.3">
      <c r="A1" s="56" t="s">
        <v>0</v>
      </c>
      <c r="B1" s="56"/>
      <c r="C1" s="56"/>
      <c r="D1" s="56"/>
      <c r="E1" s="56"/>
      <c r="F1" s="56"/>
    </row>
    <row r="2" spans="1:6" ht="18" customHeight="1" x14ac:dyDescent="0.3">
      <c r="A2" s="51" t="s">
        <v>505</v>
      </c>
      <c r="B2" s="51"/>
      <c r="C2" s="51"/>
      <c r="D2" s="51"/>
      <c r="E2" s="51"/>
      <c r="F2" s="51"/>
    </row>
    <row r="3" spans="1:6" ht="1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8" customHeight="1" x14ac:dyDescent="0.3">
      <c r="A4" s="5" t="s">
        <v>7</v>
      </c>
      <c r="B4" s="6">
        <v>691462</v>
      </c>
      <c r="C4" s="6" t="s">
        <v>8</v>
      </c>
      <c r="D4" s="7">
        <v>0.33</v>
      </c>
      <c r="E4" s="8" t="s">
        <v>9</v>
      </c>
      <c r="F4" s="9" t="s">
        <v>10</v>
      </c>
    </row>
    <row r="5" spans="1:6" ht="18" customHeight="1" x14ac:dyDescent="0.3">
      <c r="A5" s="5" t="s">
        <v>11</v>
      </c>
      <c r="B5" s="6">
        <v>308538</v>
      </c>
      <c r="C5" s="6" t="s">
        <v>12</v>
      </c>
      <c r="D5" s="7">
        <v>0.67</v>
      </c>
      <c r="E5" s="8" t="s">
        <v>13</v>
      </c>
      <c r="F5" s="9" t="s">
        <v>14</v>
      </c>
    </row>
    <row r="6" spans="1:6" ht="18" customHeight="1" x14ac:dyDescent="0.3">
      <c r="A6" s="4" t="s">
        <v>15</v>
      </c>
      <c r="B6" s="6">
        <v>66807</v>
      </c>
      <c r="C6" s="6" t="s">
        <v>16</v>
      </c>
      <c r="D6" s="7">
        <v>1</v>
      </c>
      <c r="E6" s="10" t="s">
        <v>17</v>
      </c>
      <c r="F6" s="9" t="s">
        <v>18</v>
      </c>
    </row>
    <row r="7" spans="1:6" ht="18" customHeight="1" x14ac:dyDescent="0.3">
      <c r="A7" s="3" t="s">
        <v>19</v>
      </c>
      <c r="B7" s="6">
        <v>6210</v>
      </c>
      <c r="C7" s="6" t="s">
        <v>20</v>
      </c>
      <c r="D7" s="7">
        <v>1.33</v>
      </c>
      <c r="E7" s="11" t="s">
        <v>21</v>
      </c>
      <c r="F7" s="9" t="s">
        <v>22</v>
      </c>
    </row>
    <row r="8" spans="1:6" ht="18" customHeight="1" x14ac:dyDescent="0.3">
      <c r="A8" s="3" t="s">
        <v>23</v>
      </c>
      <c r="B8" s="6">
        <v>233</v>
      </c>
      <c r="C8" s="6" t="s">
        <v>24</v>
      </c>
      <c r="D8" s="7">
        <v>1.67</v>
      </c>
      <c r="E8" s="11" t="s">
        <v>25</v>
      </c>
      <c r="F8" s="9" t="s">
        <v>26</v>
      </c>
    </row>
    <row r="9" spans="1:6" ht="18" customHeight="1" x14ac:dyDescent="0.3">
      <c r="A9" s="2" t="s">
        <v>27</v>
      </c>
      <c r="B9" s="6">
        <v>3.4</v>
      </c>
      <c r="C9" s="6" t="s">
        <v>28</v>
      </c>
      <c r="D9" s="7">
        <v>2</v>
      </c>
      <c r="E9" s="12" t="s">
        <v>29</v>
      </c>
      <c r="F9" s="9" t="s">
        <v>30</v>
      </c>
    </row>
    <row r="11" spans="1:6" ht="18" customHeight="1" x14ac:dyDescent="0.3">
      <c r="A11" s="51" t="s">
        <v>31</v>
      </c>
      <c r="B11" s="51"/>
      <c r="C11" s="51"/>
      <c r="D11" s="51"/>
      <c r="E11" s="51"/>
      <c r="F11" s="51"/>
    </row>
    <row r="12" spans="1:6" ht="18" customHeight="1" x14ac:dyDescent="0.3">
      <c r="A12" s="57" t="s">
        <v>32</v>
      </c>
      <c r="B12" s="57"/>
      <c r="C12" s="53" t="s">
        <v>33</v>
      </c>
      <c r="D12" s="53"/>
      <c r="E12" s="53"/>
      <c r="F12" s="53"/>
    </row>
    <row r="13" spans="1:6" ht="18" customHeight="1" x14ac:dyDescent="0.3">
      <c r="A13" s="52" t="s">
        <v>34</v>
      </c>
      <c r="B13" s="52"/>
      <c r="C13" s="53" t="s">
        <v>35</v>
      </c>
      <c r="D13" s="53"/>
      <c r="E13" s="53"/>
      <c r="F13" s="53"/>
    </row>
    <row r="14" spans="1:6" ht="18" customHeight="1" x14ac:dyDescent="0.3">
      <c r="A14" s="54" t="s">
        <v>36</v>
      </c>
      <c r="B14" s="54"/>
      <c r="C14" s="53" t="s">
        <v>37</v>
      </c>
      <c r="D14" s="53"/>
      <c r="E14" s="53"/>
      <c r="F14" s="53"/>
    </row>
    <row r="15" spans="1:6" ht="18" customHeight="1" x14ac:dyDescent="0.3">
      <c r="A15" s="55" t="s">
        <v>38</v>
      </c>
      <c r="B15" s="55"/>
      <c r="C15" s="53" t="s">
        <v>39</v>
      </c>
      <c r="D15" s="53"/>
      <c r="E15" s="53"/>
      <c r="F15" s="53"/>
    </row>
    <row r="17" spans="1:6" ht="18" customHeight="1" x14ac:dyDescent="0.3">
      <c r="A17" s="51" t="s">
        <v>40</v>
      </c>
      <c r="B17" s="51"/>
      <c r="C17" s="51"/>
      <c r="D17" s="51"/>
      <c r="E17" s="51"/>
      <c r="F17" s="51"/>
    </row>
    <row r="18" spans="1:6" ht="15" customHeight="1" x14ac:dyDescent="0.3">
      <c r="A18" s="1" t="s">
        <v>41</v>
      </c>
      <c r="B18" s="1" t="s">
        <v>42</v>
      </c>
      <c r="C18" s="1" t="s">
        <v>43</v>
      </c>
      <c r="D18" s="1" t="s">
        <v>44</v>
      </c>
    </row>
    <row r="19" spans="1:6" ht="19.5" customHeight="1" x14ac:dyDescent="0.3">
      <c r="A19" s="13" t="s">
        <v>45</v>
      </c>
      <c r="B19" s="9" t="s">
        <v>46</v>
      </c>
      <c r="C19" s="14" t="s">
        <v>47</v>
      </c>
      <c r="D19" s="15" t="s">
        <v>48</v>
      </c>
    </row>
    <row r="20" spans="1:6" ht="19.5" customHeight="1" x14ac:dyDescent="0.3">
      <c r="A20" s="16" t="s">
        <v>49</v>
      </c>
      <c r="B20" s="17" t="s">
        <v>50</v>
      </c>
      <c r="C20" s="18" t="s">
        <v>51</v>
      </c>
      <c r="D20" s="19" t="s">
        <v>52</v>
      </c>
    </row>
    <row r="21" spans="1:6" ht="19.5" customHeight="1" x14ac:dyDescent="0.3">
      <c r="A21" s="13" t="s">
        <v>53</v>
      </c>
      <c r="B21" s="9" t="s">
        <v>54</v>
      </c>
      <c r="C21" s="14" t="s">
        <v>55</v>
      </c>
      <c r="D21" s="15" t="s">
        <v>56</v>
      </c>
    </row>
    <row r="22" spans="1:6" ht="19.5" customHeight="1" x14ac:dyDescent="0.3">
      <c r="A22" s="16" t="s">
        <v>57</v>
      </c>
      <c r="B22" s="17" t="s">
        <v>58</v>
      </c>
      <c r="C22" s="18" t="s">
        <v>59</v>
      </c>
      <c r="D22" s="19" t="s">
        <v>60</v>
      </c>
    </row>
    <row r="23" spans="1:6" ht="19.5" customHeight="1" x14ac:dyDescent="0.3">
      <c r="A23" s="13" t="s">
        <v>61</v>
      </c>
      <c r="B23" s="9" t="s">
        <v>62</v>
      </c>
      <c r="C23" s="14" t="s">
        <v>63</v>
      </c>
      <c r="D23" s="15" t="s">
        <v>60</v>
      </c>
    </row>
    <row r="24" spans="1:6" ht="19.5" customHeight="1" x14ac:dyDescent="0.3">
      <c r="A24" s="16" t="s">
        <v>64</v>
      </c>
      <c r="B24" s="17" t="s">
        <v>65</v>
      </c>
      <c r="C24" s="18" t="s">
        <v>66</v>
      </c>
      <c r="D24" s="19" t="s">
        <v>67</v>
      </c>
    </row>
    <row r="25" spans="1:6" ht="19.5" customHeight="1" x14ac:dyDescent="0.3">
      <c r="A25" s="13" t="s">
        <v>68</v>
      </c>
      <c r="B25" s="9" t="s">
        <v>69</v>
      </c>
      <c r="C25" s="14" t="s">
        <v>70</v>
      </c>
      <c r="D25" s="15" t="s">
        <v>71</v>
      </c>
    </row>
    <row r="26" spans="1:6" ht="19.5" customHeight="1" x14ac:dyDescent="0.3">
      <c r="A26" s="16" t="s">
        <v>72</v>
      </c>
      <c r="B26" s="17" t="s">
        <v>73</v>
      </c>
      <c r="C26" s="18" t="s">
        <v>74</v>
      </c>
      <c r="D26" s="19" t="s">
        <v>75</v>
      </c>
    </row>
    <row r="27" spans="1:6" ht="19.5" customHeight="1" x14ac:dyDescent="0.3">
      <c r="A27" s="13" t="s">
        <v>76</v>
      </c>
      <c r="B27" s="9" t="s">
        <v>77</v>
      </c>
      <c r="C27" s="14" t="s">
        <v>78</v>
      </c>
      <c r="D27" s="15" t="s">
        <v>79</v>
      </c>
    </row>
  </sheetData>
  <mergeCells count="12">
    <mergeCell ref="A1:F1"/>
    <mergeCell ref="A2:F2"/>
    <mergeCell ref="A11:F11"/>
    <mergeCell ref="A12:B12"/>
    <mergeCell ref="C12:F12"/>
    <mergeCell ref="A17:F17"/>
    <mergeCell ref="A13:B13"/>
    <mergeCell ref="C13:F13"/>
    <mergeCell ref="A14:B14"/>
    <mergeCell ref="C14:F14"/>
    <mergeCell ref="A15:B15"/>
    <mergeCell ref="C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topLeftCell="A4" zoomScaleNormal="100" workbookViewId="0">
      <selection activeCell="J22" sqref="J22"/>
    </sheetView>
  </sheetViews>
  <sheetFormatPr defaultColWidth="8.6640625" defaultRowHeight="14.4" x14ac:dyDescent="0.3"/>
  <cols>
    <col min="1" max="1" width="25.6640625" bestFit="1" customWidth="1"/>
    <col min="2" max="2" width="19.33203125" bestFit="1" customWidth="1"/>
    <col min="3" max="3" width="10.6640625" bestFit="1" customWidth="1"/>
    <col min="4" max="4" width="22.6640625" bestFit="1" customWidth="1"/>
  </cols>
  <sheetData>
    <row r="1" spans="1:4" ht="30" customHeight="1" x14ac:dyDescent="0.3">
      <c r="A1" s="50" t="s">
        <v>80</v>
      </c>
      <c r="B1" s="50"/>
      <c r="C1" s="50"/>
      <c r="D1" s="50"/>
    </row>
    <row r="2" spans="1:4" ht="18" customHeight="1" x14ac:dyDescent="0.3">
      <c r="A2" s="51" t="s">
        <v>81</v>
      </c>
      <c r="B2" s="51"/>
      <c r="C2" s="51"/>
      <c r="D2" s="51"/>
    </row>
    <row r="4" spans="1:4" ht="18" customHeight="1" x14ac:dyDescent="0.3">
      <c r="A4" s="51" t="s">
        <v>82</v>
      </c>
      <c r="B4" s="51"/>
      <c r="C4" s="51"/>
      <c r="D4" s="51"/>
    </row>
    <row r="5" spans="1:4" ht="18" customHeight="1" x14ac:dyDescent="0.3">
      <c r="A5" s="20" t="s">
        <v>83</v>
      </c>
      <c r="B5" s="21">
        <v>504</v>
      </c>
      <c r="C5" s="22" t="s">
        <v>84</v>
      </c>
    </row>
    <row r="6" spans="1:4" ht="18" customHeight="1" x14ac:dyDescent="0.3">
      <c r="A6" s="20" t="s">
        <v>85</v>
      </c>
      <c r="B6" s="21">
        <v>496</v>
      </c>
      <c r="C6" s="22" t="s">
        <v>84</v>
      </c>
    </row>
    <row r="7" spans="1:4" ht="18" customHeight="1" x14ac:dyDescent="0.3">
      <c r="A7" s="20" t="s">
        <v>86</v>
      </c>
      <c r="B7" s="21">
        <v>500</v>
      </c>
      <c r="C7" s="22" t="s">
        <v>84</v>
      </c>
    </row>
    <row r="8" spans="1:4" ht="18" customHeight="1" x14ac:dyDescent="0.3">
      <c r="A8" s="20" t="s">
        <v>87</v>
      </c>
      <c r="B8" s="21">
        <v>500.6</v>
      </c>
      <c r="C8" s="22" t="s">
        <v>84</v>
      </c>
    </row>
    <row r="9" spans="1:4" ht="18" customHeight="1" x14ac:dyDescent="0.3">
      <c r="A9" s="20" t="s">
        <v>88</v>
      </c>
      <c r="B9" s="21">
        <v>0.79500000000000004</v>
      </c>
      <c r="C9" s="22" t="s">
        <v>84</v>
      </c>
    </row>
    <row r="10" spans="1:4" ht="18" customHeight="1" x14ac:dyDescent="0.3">
      <c r="A10" s="20" t="s">
        <v>89</v>
      </c>
      <c r="B10" s="21">
        <v>0.82</v>
      </c>
      <c r="C10" s="22" t="s">
        <v>84</v>
      </c>
    </row>
    <row r="12" spans="1:4" ht="18" customHeight="1" x14ac:dyDescent="0.3">
      <c r="A12" s="51" t="s">
        <v>90</v>
      </c>
      <c r="B12" s="51"/>
      <c r="C12" s="51"/>
      <c r="D12" s="51"/>
    </row>
    <row r="13" spans="1:4" ht="18" customHeight="1" x14ac:dyDescent="0.3">
      <c r="A13" s="20" t="s">
        <v>91</v>
      </c>
      <c r="B13" s="23">
        <f>B5-B6</f>
        <v>8</v>
      </c>
      <c r="C13" s="24"/>
      <c r="D13" s="25" t="s">
        <v>92</v>
      </c>
    </row>
    <row r="14" spans="1:4" ht="18" customHeight="1" x14ac:dyDescent="0.3">
      <c r="A14" s="20" t="s">
        <v>93</v>
      </c>
      <c r="B14" s="23">
        <f>(B5-B6)/(6*B9)</f>
        <v>1.6771488469601676</v>
      </c>
      <c r="C14" s="24"/>
      <c r="D14" s="25" t="s">
        <v>94</v>
      </c>
    </row>
    <row r="15" spans="1:4" ht="18" customHeight="1" x14ac:dyDescent="0.3">
      <c r="A15" s="20" t="s">
        <v>95</v>
      </c>
      <c r="B15" s="23">
        <f>MIN((B5-B7)/(3*B9),(B7-B6)/(3*B9))</f>
        <v>1.6771488469601676</v>
      </c>
      <c r="C15" s="24"/>
      <c r="D15" s="25" t="s">
        <v>96</v>
      </c>
    </row>
    <row r="16" spans="1:4" ht="18" customHeight="1" x14ac:dyDescent="0.3">
      <c r="A16" s="20" t="s">
        <v>97</v>
      </c>
      <c r="B16" s="23">
        <f>(B5-B7)/(3*B9)</f>
        <v>1.6771488469601676</v>
      </c>
      <c r="C16" s="24"/>
      <c r="D16" s="25" t="s">
        <v>98</v>
      </c>
    </row>
    <row r="17" spans="1:4" ht="18" customHeight="1" x14ac:dyDescent="0.3">
      <c r="A17" s="20" t="s">
        <v>99</v>
      </c>
      <c r="B17" s="23">
        <f>(B7-B6)/(3*B9)</f>
        <v>1.6771488469601676</v>
      </c>
      <c r="C17" s="24"/>
      <c r="D17" s="25" t="s">
        <v>100</v>
      </c>
    </row>
    <row r="18" spans="1:4" ht="18" customHeight="1" x14ac:dyDescent="0.3">
      <c r="A18" s="20" t="s">
        <v>101</v>
      </c>
      <c r="B18" s="23">
        <f>(B5-B6)/(6*B10)</f>
        <v>1.6260162601626016</v>
      </c>
      <c r="C18" s="24"/>
      <c r="D18" s="25" t="s">
        <v>102</v>
      </c>
    </row>
    <row r="19" spans="1:4" ht="18" customHeight="1" x14ac:dyDescent="0.3">
      <c r="A19" s="20" t="s">
        <v>103</v>
      </c>
      <c r="B19" s="23">
        <f>MIN((B5-B7)/(3*B10),(B7-B6)/(3*B10))</f>
        <v>1.6260162601626016</v>
      </c>
      <c r="C19" s="24"/>
      <c r="D19" s="25" t="s">
        <v>104</v>
      </c>
    </row>
    <row r="20" spans="1:4" ht="18" customHeight="1" x14ac:dyDescent="0.3">
      <c r="A20" s="20" t="s">
        <v>105</v>
      </c>
      <c r="B20" s="26">
        <f>ABS(B7-(B5+B6)/2)/((B5-B6)/2)*100</f>
        <v>0</v>
      </c>
      <c r="C20" s="24"/>
      <c r="D20" s="25" t="s">
        <v>106</v>
      </c>
    </row>
    <row r="21" spans="1:4" ht="18" customHeight="1" x14ac:dyDescent="0.3">
      <c r="A21" s="20" t="s">
        <v>107</v>
      </c>
      <c r="B21" s="27" t="str">
        <f>IF(C14&gt;=1.67,"&lt;233",IF(C14&gt;=1.33,"~6210",IF(C14&gt;=1,"~66807","&gt;66807")))</f>
        <v>&gt;66807</v>
      </c>
      <c r="C21" s="24"/>
      <c r="D21" s="25" t="s">
        <v>108</v>
      </c>
    </row>
    <row r="22" spans="1:4" ht="18" customHeight="1" x14ac:dyDescent="0.3">
      <c r="A22" s="20" t="s">
        <v>109</v>
      </c>
      <c r="B22" s="27" t="str">
        <f>IF(C14&gt;=1.67,"Excellent ✔",IF(C14&gt;=1.33,"Capable ✔",IF(C14&gt;=1,"Marginal ⚠","Incapable ✘")))</f>
        <v>Incapable ✘</v>
      </c>
      <c r="C22" s="24"/>
      <c r="D22" s="25" t="s">
        <v>110</v>
      </c>
    </row>
    <row r="24" spans="1:4" ht="18" customHeight="1" x14ac:dyDescent="0.3">
      <c r="A24" s="51" t="s">
        <v>111</v>
      </c>
      <c r="B24" s="51"/>
      <c r="C24" s="51"/>
      <c r="D24" s="51"/>
    </row>
    <row r="25" spans="1:4" ht="15" customHeight="1" x14ac:dyDescent="0.3">
      <c r="A25" s="1" t="s">
        <v>112</v>
      </c>
      <c r="B25" s="1" t="s">
        <v>113</v>
      </c>
      <c r="C25" s="1" t="s">
        <v>114</v>
      </c>
      <c r="D25" s="1" t="s">
        <v>115</v>
      </c>
    </row>
    <row r="26" spans="1:4" ht="19.5" customHeight="1" x14ac:dyDescent="0.3">
      <c r="A26" s="16" t="s">
        <v>116</v>
      </c>
      <c r="B26" s="16" t="s">
        <v>117</v>
      </c>
      <c r="C26" s="16" t="s">
        <v>118</v>
      </c>
      <c r="D26" s="16" t="s">
        <v>119</v>
      </c>
    </row>
    <row r="27" spans="1:4" ht="19.5" customHeight="1" x14ac:dyDescent="0.3">
      <c r="A27" s="13" t="s">
        <v>120</v>
      </c>
      <c r="B27" s="13" t="s">
        <v>121</v>
      </c>
      <c r="C27" s="13" t="s">
        <v>118</v>
      </c>
      <c r="D27" s="13" t="s">
        <v>122</v>
      </c>
    </row>
    <row r="28" spans="1:4" ht="19.5" customHeight="1" x14ac:dyDescent="0.3">
      <c r="A28" s="16" t="s">
        <v>123</v>
      </c>
      <c r="B28" s="16" t="s">
        <v>124</v>
      </c>
      <c r="C28" s="16" t="s">
        <v>118</v>
      </c>
      <c r="D28" s="16" t="s">
        <v>125</v>
      </c>
    </row>
    <row r="29" spans="1:4" ht="19.5" customHeight="1" x14ac:dyDescent="0.3">
      <c r="A29" s="13" t="s">
        <v>126</v>
      </c>
      <c r="B29" s="13" t="s">
        <v>127</v>
      </c>
      <c r="C29" s="13" t="s">
        <v>38</v>
      </c>
      <c r="D29" s="13" t="s">
        <v>128</v>
      </c>
    </row>
    <row r="30" spans="1:4" ht="19.5" customHeight="1" x14ac:dyDescent="0.3">
      <c r="A30" s="16" t="s">
        <v>129</v>
      </c>
      <c r="B30" s="16" t="s">
        <v>130</v>
      </c>
      <c r="C30" s="16" t="s">
        <v>118</v>
      </c>
      <c r="D30" s="16" t="s">
        <v>131</v>
      </c>
    </row>
    <row r="31" spans="1:4" ht="19.5" customHeight="1" x14ac:dyDescent="0.3">
      <c r="A31" s="13" t="s">
        <v>132</v>
      </c>
      <c r="B31" s="13" t="s">
        <v>133</v>
      </c>
      <c r="C31" s="13" t="s">
        <v>134</v>
      </c>
      <c r="D31" s="13" t="s">
        <v>135</v>
      </c>
    </row>
    <row r="32" spans="1:4" ht="19.5" customHeight="1" x14ac:dyDescent="0.3">
      <c r="A32" s="16" t="s">
        <v>136</v>
      </c>
      <c r="B32" s="16" t="s">
        <v>137</v>
      </c>
      <c r="C32" s="16" t="s">
        <v>138</v>
      </c>
      <c r="D32" s="16" t="s">
        <v>139</v>
      </c>
    </row>
    <row r="33" spans="1:4" ht="19.5" customHeight="1" x14ac:dyDescent="0.3">
      <c r="A33" s="13" t="s">
        <v>140</v>
      </c>
      <c r="B33" s="13" t="s">
        <v>141</v>
      </c>
      <c r="C33" s="13" t="s">
        <v>142</v>
      </c>
      <c r="D33" s="13" t="s">
        <v>143</v>
      </c>
    </row>
  </sheetData>
  <mergeCells count="5">
    <mergeCell ref="A1:D1"/>
    <mergeCell ref="A2:D2"/>
    <mergeCell ref="A4:D4"/>
    <mergeCell ref="A12:D12"/>
    <mergeCell ref="A24:D24"/>
  </mergeCells>
  <conditionalFormatting sqref="C14">
    <cfRule type="cellIs" dxfId="5" priority="2" operator="lessThan">
      <formula>1</formula>
    </cfRule>
    <cfRule type="cellIs" dxfId="4" priority="3" operator="between">
      <formula>1</formula>
      <formula>1.33</formula>
    </cfRule>
    <cfRule type="cellIs" dxfId="3" priority="4" operator="greaterThanOrEqual">
      <formula>1.33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34.88671875" bestFit="1" customWidth="1"/>
    <col min="2" max="2" width="7.5546875" bestFit="1" customWidth="1"/>
    <col min="3" max="3" width="6" bestFit="1" customWidth="1"/>
    <col min="4" max="4" width="27.88671875" bestFit="1" customWidth="1"/>
    <col min="5" max="5" width="6" bestFit="1" customWidth="1"/>
    <col min="6" max="6" width="7" bestFit="1" customWidth="1"/>
  </cols>
  <sheetData>
    <row r="1" spans="1:4" ht="30" customHeight="1" x14ac:dyDescent="0.3">
      <c r="A1" s="50" t="s">
        <v>144</v>
      </c>
      <c r="B1" s="50"/>
      <c r="C1" s="50"/>
      <c r="D1" s="50"/>
    </row>
    <row r="2" spans="1:4" ht="18" customHeight="1" x14ac:dyDescent="0.3">
      <c r="A2" s="51" t="s">
        <v>145</v>
      </c>
      <c r="B2" s="51"/>
      <c r="C2" s="51"/>
      <c r="D2" s="51"/>
    </row>
    <row r="4" spans="1:4" ht="18" customHeight="1" x14ac:dyDescent="0.3">
      <c r="A4" s="51" t="s">
        <v>146</v>
      </c>
      <c r="B4" s="51"/>
      <c r="C4" s="51"/>
      <c r="D4" s="51"/>
    </row>
    <row r="5" spans="1:4" ht="15" customHeight="1" x14ac:dyDescent="0.3">
      <c r="A5" s="20" t="s">
        <v>147</v>
      </c>
      <c r="B5" s="21">
        <v>11.52</v>
      </c>
      <c r="C5" s="22" t="s">
        <v>148</v>
      </c>
      <c r="D5" s="25" t="s">
        <v>149</v>
      </c>
    </row>
    <row r="6" spans="1:4" ht="15" customHeight="1" x14ac:dyDescent="0.3">
      <c r="A6" s="20" t="s">
        <v>150</v>
      </c>
      <c r="B6" s="21">
        <v>0.25</v>
      </c>
      <c r="C6" s="22" t="s">
        <v>148</v>
      </c>
      <c r="D6" s="25" t="s">
        <v>151</v>
      </c>
    </row>
    <row r="7" spans="1:4" ht="15" customHeight="1" x14ac:dyDescent="0.3">
      <c r="A7" s="20" t="s">
        <v>152</v>
      </c>
      <c r="B7" s="21">
        <v>3</v>
      </c>
      <c r="C7" s="22" t="s">
        <v>153</v>
      </c>
      <c r="D7" s="25" t="s">
        <v>154</v>
      </c>
    </row>
    <row r="9" spans="1:4" ht="18" customHeight="1" x14ac:dyDescent="0.3">
      <c r="A9" s="51" t="s">
        <v>155</v>
      </c>
      <c r="B9" s="51"/>
      <c r="C9" s="51"/>
      <c r="D9" s="51"/>
    </row>
    <row r="10" spans="1:4" ht="15" customHeight="1" x14ac:dyDescent="0.3">
      <c r="A10" s="20" t="s">
        <v>156</v>
      </c>
      <c r="B10" s="23">
        <f>B5+B7*B6</f>
        <v>12.27</v>
      </c>
      <c r="D10" s="25" t="s">
        <v>157</v>
      </c>
    </row>
    <row r="11" spans="1:4" ht="15" customHeight="1" x14ac:dyDescent="0.3">
      <c r="A11" s="20" t="s">
        <v>158</v>
      </c>
      <c r="B11" s="23">
        <f>B5</f>
        <v>11.52</v>
      </c>
      <c r="D11" s="25" t="s">
        <v>159</v>
      </c>
    </row>
    <row r="12" spans="1:4" ht="15" customHeight="1" x14ac:dyDescent="0.3">
      <c r="A12" s="20" t="s">
        <v>160</v>
      </c>
      <c r="B12" s="23">
        <f>MAX(0,B5-B7*B6)</f>
        <v>10.77</v>
      </c>
      <c r="D12" s="25" t="s">
        <v>161</v>
      </c>
    </row>
    <row r="13" spans="1:4" ht="15" customHeight="1" x14ac:dyDescent="0.3">
      <c r="A13" s="20" t="s">
        <v>162</v>
      </c>
      <c r="B13" s="23">
        <f>3.267*1.128*B6</f>
        <v>0.92129399999999984</v>
      </c>
      <c r="D13" s="25" t="s">
        <v>163</v>
      </c>
    </row>
    <row r="14" spans="1:4" ht="15" customHeight="1" x14ac:dyDescent="0.3">
      <c r="A14" s="20" t="s">
        <v>164</v>
      </c>
      <c r="B14" s="23">
        <f>1.128*B6</f>
        <v>0.28199999999999997</v>
      </c>
      <c r="D14" s="25" t="s">
        <v>165</v>
      </c>
    </row>
    <row r="16" spans="1:4" ht="18" customHeight="1" x14ac:dyDescent="0.3">
      <c r="A16" s="51" t="s">
        <v>166</v>
      </c>
      <c r="B16" s="51"/>
      <c r="C16" s="51"/>
      <c r="D16" s="51"/>
    </row>
    <row r="17" spans="1:6" ht="15" customHeight="1" x14ac:dyDescent="0.3">
      <c r="A17" s="20" t="s">
        <v>167</v>
      </c>
      <c r="B17" s="21">
        <v>5</v>
      </c>
      <c r="C17" s="22" t="s">
        <v>153</v>
      </c>
    </row>
    <row r="18" spans="1:6" ht="15" customHeight="1" x14ac:dyDescent="0.3">
      <c r="A18" s="20" t="s">
        <v>168</v>
      </c>
      <c r="B18" s="21">
        <v>330.4</v>
      </c>
      <c r="C18" s="22" t="s">
        <v>84</v>
      </c>
    </row>
    <row r="19" spans="1:6" ht="15" customHeight="1" x14ac:dyDescent="0.3">
      <c r="A19" s="20" t="s">
        <v>169</v>
      </c>
      <c r="B19" s="21">
        <v>2.8</v>
      </c>
      <c r="C19" s="22" t="s">
        <v>84</v>
      </c>
    </row>
    <row r="21" spans="1:6" ht="18" customHeight="1" x14ac:dyDescent="0.3">
      <c r="A21" s="51" t="s">
        <v>170</v>
      </c>
      <c r="B21" s="51"/>
      <c r="C21" s="51"/>
      <c r="D21" s="51"/>
    </row>
    <row r="22" spans="1:6" ht="15" customHeight="1" x14ac:dyDescent="0.3">
      <c r="A22" s="1" t="s">
        <v>171</v>
      </c>
      <c r="B22" s="1" t="s">
        <v>172</v>
      </c>
      <c r="C22" s="1" t="s">
        <v>173</v>
      </c>
      <c r="D22" s="1" t="s">
        <v>174</v>
      </c>
      <c r="E22" s="1" t="s">
        <v>175</v>
      </c>
      <c r="F22" s="1" t="s">
        <v>176</v>
      </c>
    </row>
    <row r="23" spans="1:6" ht="15.75" customHeight="1" x14ac:dyDescent="0.3">
      <c r="A23" s="28">
        <v>2</v>
      </c>
      <c r="B23" s="28">
        <v>1.88</v>
      </c>
      <c r="C23" s="28">
        <v>0</v>
      </c>
      <c r="D23" s="28">
        <v>3.2669999999999999</v>
      </c>
      <c r="E23" s="28">
        <v>1.1279999999999999</v>
      </c>
      <c r="F23" s="28">
        <v>0.79790000000000005</v>
      </c>
    </row>
    <row r="24" spans="1:6" ht="15.75" customHeight="1" x14ac:dyDescent="0.3">
      <c r="A24" s="6">
        <v>3</v>
      </c>
      <c r="B24" s="6">
        <v>1.0229999999999999</v>
      </c>
      <c r="C24" s="6">
        <v>0</v>
      </c>
      <c r="D24" s="6">
        <v>2.5739999999999998</v>
      </c>
      <c r="E24" s="6">
        <v>1.6930000000000001</v>
      </c>
      <c r="F24" s="6">
        <v>0.88619999999999999</v>
      </c>
    </row>
    <row r="25" spans="1:6" ht="15.75" customHeight="1" x14ac:dyDescent="0.3">
      <c r="A25" s="28">
        <v>4</v>
      </c>
      <c r="B25" s="28">
        <v>0.72899999999999998</v>
      </c>
      <c r="C25" s="28">
        <v>0</v>
      </c>
      <c r="D25" s="28">
        <v>2.282</v>
      </c>
      <c r="E25" s="28">
        <v>2.0590000000000002</v>
      </c>
      <c r="F25" s="28">
        <v>0.92130000000000001</v>
      </c>
    </row>
    <row r="26" spans="1:6" ht="15.75" customHeight="1" x14ac:dyDescent="0.3">
      <c r="A26" s="29">
        <v>5</v>
      </c>
      <c r="B26" s="29">
        <v>0.57699999999999996</v>
      </c>
      <c r="C26" s="29">
        <v>0</v>
      </c>
      <c r="D26" s="29">
        <v>2.1139999999999999</v>
      </c>
      <c r="E26" s="29">
        <v>2.3260000000000001</v>
      </c>
      <c r="F26" s="29">
        <v>0.94</v>
      </c>
    </row>
    <row r="27" spans="1:6" ht="15.75" customHeight="1" x14ac:dyDescent="0.3">
      <c r="A27" s="28">
        <v>6</v>
      </c>
      <c r="B27" s="28">
        <v>0.48299999999999998</v>
      </c>
      <c r="C27" s="28">
        <v>0</v>
      </c>
      <c r="D27" s="28">
        <v>2.004</v>
      </c>
      <c r="E27" s="28">
        <v>2.5339999999999998</v>
      </c>
      <c r="F27" s="28">
        <v>0.95150000000000001</v>
      </c>
    </row>
    <row r="28" spans="1:6" ht="15.75" customHeight="1" x14ac:dyDescent="0.3">
      <c r="A28" s="6">
        <v>7</v>
      </c>
      <c r="B28" s="6">
        <v>0.41899999999999998</v>
      </c>
      <c r="C28" s="6">
        <v>7.5999999999999998E-2</v>
      </c>
      <c r="D28" s="6">
        <v>1.9239999999999999</v>
      </c>
      <c r="E28" s="6">
        <v>2.7040000000000002</v>
      </c>
      <c r="F28" s="6">
        <v>0.95940000000000003</v>
      </c>
    </row>
    <row r="29" spans="1:6" ht="15.75" customHeight="1" x14ac:dyDescent="0.3">
      <c r="A29" s="28">
        <v>8</v>
      </c>
      <c r="B29" s="28">
        <v>0.373</v>
      </c>
      <c r="C29" s="28">
        <v>0.13600000000000001</v>
      </c>
      <c r="D29" s="28">
        <v>1.8640000000000001</v>
      </c>
      <c r="E29" s="28">
        <v>2.847</v>
      </c>
      <c r="F29" s="28">
        <v>0.96499999999999997</v>
      </c>
    </row>
    <row r="31" spans="1:6" ht="18" customHeight="1" x14ac:dyDescent="0.3">
      <c r="A31" s="51" t="s">
        <v>177</v>
      </c>
      <c r="B31" s="51"/>
      <c r="C31" s="51"/>
      <c r="D31" s="51"/>
    </row>
    <row r="32" spans="1:6" ht="15" customHeight="1" x14ac:dyDescent="0.3">
      <c r="A32" s="20" t="s">
        <v>178</v>
      </c>
      <c r="B32" s="23">
        <f>B18+0.577*B19</f>
        <v>332.01559999999995</v>
      </c>
      <c r="D32" s="25" t="s">
        <v>179</v>
      </c>
    </row>
    <row r="33" spans="1:4" ht="15" customHeight="1" x14ac:dyDescent="0.3">
      <c r="A33" s="20" t="s">
        <v>180</v>
      </c>
      <c r="B33" s="23">
        <f>B18</f>
        <v>330.4</v>
      </c>
      <c r="D33" s="25" t="s">
        <v>181</v>
      </c>
    </row>
    <row r="34" spans="1:4" ht="15" customHeight="1" x14ac:dyDescent="0.3">
      <c r="A34" s="20" t="s">
        <v>182</v>
      </c>
      <c r="B34" s="23">
        <f>B18-0.577*B19</f>
        <v>328.78440000000001</v>
      </c>
      <c r="D34" s="25" t="s">
        <v>179</v>
      </c>
    </row>
    <row r="35" spans="1:4" ht="15" customHeight="1" x14ac:dyDescent="0.3">
      <c r="A35" s="20" t="s">
        <v>183</v>
      </c>
      <c r="B35" s="23">
        <f>2.114*B19</f>
        <v>5.9191999999999991</v>
      </c>
      <c r="D35" s="25" t="s">
        <v>184</v>
      </c>
    </row>
    <row r="36" spans="1:4" ht="15" customHeight="1" x14ac:dyDescent="0.3">
      <c r="A36" s="20" t="s">
        <v>185</v>
      </c>
      <c r="B36" s="23">
        <f>MAX(0,0*B19)</f>
        <v>0</v>
      </c>
      <c r="D36" s="25" t="s">
        <v>186</v>
      </c>
    </row>
    <row r="37" spans="1:4" ht="15" customHeight="1" x14ac:dyDescent="0.3">
      <c r="A37" s="20" t="s">
        <v>187</v>
      </c>
      <c r="B37" s="23">
        <f>B19/2.326</f>
        <v>1.2037833190025795</v>
      </c>
      <c r="D37" s="25" t="s">
        <v>188</v>
      </c>
    </row>
    <row r="39" spans="1:4" ht="18" customHeight="1" x14ac:dyDescent="0.3">
      <c r="A39" s="51" t="s">
        <v>189</v>
      </c>
      <c r="B39" s="51"/>
      <c r="C39" s="51"/>
      <c r="D39" s="51"/>
    </row>
    <row r="40" spans="1:4" ht="15" customHeight="1" x14ac:dyDescent="0.3">
      <c r="A40" s="20" t="s">
        <v>190</v>
      </c>
      <c r="B40" s="21">
        <v>110</v>
      </c>
      <c r="C40" s="22" t="s">
        <v>191</v>
      </c>
      <c r="D40" s="25" t="s">
        <v>192</v>
      </c>
    </row>
    <row r="41" spans="1:4" ht="15" customHeight="1" x14ac:dyDescent="0.3">
      <c r="A41" s="20" t="s">
        <v>193</v>
      </c>
      <c r="B41" s="21">
        <v>228000</v>
      </c>
      <c r="C41" s="22" t="s">
        <v>191</v>
      </c>
      <c r="D41" s="25" t="s">
        <v>194</v>
      </c>
    </row>
    <row r="42" spans="1:4" ht="15" customHeight="1" x14ac:dyDescent="0.3">
      <c r="A42" s="20" t="s">
        <v>195</v>
      </c>
      <c r="B42" s="21">
        <v>7600</v>
      </c>
      <c r="C42" s="22" t="s">
        <v>191</v>
      </c>
      <c r="D42" s="25" t="s">
        <v>196</v>
      </c>
    </row>
    <row r="43" spans="1:4" ht="15" customHeight="1" x14ac:dyDescent="0.3">
      <c r="A43" s="20" t="s">
        <v>197</v>
      </c>
      <c r="B43" s="21">
        <v>3</v>
      </c>
      <c r="C43" s="22" t="s">
        <v>153</v>
      </c>
      <c r="D43" s="25" t="s">
        <v>198</v>
      </c>
    </row>
    <row r="45" spans="1:4" ht="18" customHeight="1" x14ac:dyDescent="0.3">
      <c r="A45" s="51" t="s">
        <v>199</v>
      </c>
      <c r="B45" s="51"/>
      <c r="C45" s="51"/>
      <c r="D45" s="51"/>
    </row>
    <row r="46" spans="1:4" ht="15" customHeight="1" x14ac:dyDescent="0.3">
      <c r="A46" s="20" t="s">
        <v>200</v>
      </c>
      <c r="B46" s="30">
        <f>B40/B41</f>
        <v>4.8245614035087722E-4</v>
      </c>
      <c r="D46" s="25" t="s">
        <v>201</v>
      </c>
    </row>
    <row r="47" spans="1:4" ht="15" customHeight="1" x14ac:dyDescent="0.3">
      <c r="A47" s="20" t="s">
        <v>202</v>
      </c>
      <c r="B47" s="30">
        <f>B46+3*SQRT(B46*(1-B46)/B42)</f>
        <v>1.2381372889818773E-3</v>
      </c>
      <c r="D47" s="25" t="s">
        <v>203</v>
      </c>
    </row>
    <row r="48" spans="1:4" ht="15" customHeight="1" x14ac:dyDescent="0.3">
      <c r="A48" s="20" t="s">
        <v>204</v>
      </c>
      <c r="B48" s="30">
        <f>MAX(0,B46-3*SQRT(B46*(1-B46)/B42))</f>
        <v>0</v>
      </c>
      <c r="D48" s="25" t="s">
        <v>205</v>
      </c>
    </row>
    <row r="49" spans="1:4" ht="15" customHeight="1" x14ac:dyDescent="0.3">
      <c r="A49" s="20" t="s">
        <v>206</v>
      </c>
      <c r="B49" s="30">
        <f>B46*100</f>
        <v>4.8245614035087724E-2</v>
      </c>
      <c r="D49" s="25" t="s">
        <v>207</v>
      </c>
    </row>
  </sheetData>
  <mergeCells count="9">
    <mergeCell ref="A21:D21"/>
    <mergeCell ref="A31:D31"/>
    <mergeCell ref="A39:D39"/>
    <mergeCell ref="A45:D45"/>
    <mergeCell ref="A1:D1"/>
    <mergeCell ref="A2:D2"/>
    <mergeCell ref="A4:D4"/>
    <mergeCell ref="A9:D9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32.21875" bestFit="1" customWidth="1"/>
    <col min="2" max="2" width="17.5546875" bestFit="1" customWidth="1"/>
    <col min="3" max="3" width="6.5546875" bestFit="1" customWidth="1"/>
    <col min="4" max="4" width="29.21875" bestFit="1" customWidth="1"/>
  </cols>
  <sheetData>
    <row r="1" spans="1:4" ht="30" customHeight="1" x14ac:dyDescent="0.3">
      <c r="A1" s="50" t="s">
        <v>208</v>
      </c>
      <c r="B1" s="50"/>
      <c r="C1" s="50"/>
      <c r="D1" s="50"/>
    </row>
    <row r="2" spans="1:4" ht="18" customHeight="1" x14ac:dyDescent="0.3">
      <c r="A2" s="51" t="s">
        <v>209</v>
      </c>
      <c r="B2" s="51"/>
      <c r="C2" s="51"/>
      <c r="D2" s="51"/>
    </row>
    <row r="4" spans="1:4" ht="18" customHeight="1" x14ac:dyDescent="0.3">
      <c r="A4" s="51" t="s">
        <v>210</v>
      </c>
      <c r="B4" s="51"/>
      <c r="C4" s="51"/>
      <c r="D4" s="51"/>
    </row>
    <row r="5" spans="1:4" ht="18" customHeight="1" x14ac:dyDescent="0.3">
      <c r="A5" s="20" t="s">
        <v>211</v>
      </c>
      <c r="B5" s="21">
        <v>2</v>
      </c>
    </row>
    <row r="6" spans="1:4" ht="18" customHeight="1" x14ac:dyDescent="0.3">
      <c r="A6" s="20" t="s">
        <v>212</v>
      </c>
      <c r="B6" s="21">
        <v>10</v>
      </c>
    </row>
    <row r="7" spans="1:4" ht="18" customHeight="1" x14ac:dyDescent="0.3">
      <c r="A7" s="20" t="s">
        <v>213</v>
      </c>
      <c r="B7" s="21">
        <v>2</v>
      </c>
    </row>
    <row r="8" spans="1:4" ht="18" customHeight="1" x14ac:dyDescent="0.3">
      <c r="A8" s="20" t="s">
        <v>214</v>
      </c>
      <c r="B8" s="21">
        <v>0.08</v>
      </c>
    </row>
    <row r="9" spans="1:4" ht="18" customHeight="1" x14ac:dyDescent="0.3">
      <c r="A9" s="20" t="s">
        <v>215</v>
      </c>
      <c r="B9" s="21">
        <v>0.14000000000000001</v>
      </c>
    </row>
    <row r="10" spans="1:4" ht="18" customHeight="1" x14ac:dyDescent="0.3">
      <c r="A10" s="20" t="s">
        <v>216</v>
      </c>
      <c r="B10" s="21">
        <v>1.2</v>
      </c>
    </row>
    <row r="11" spans="1:4" ht="18" customHeight="1" x14ac:dyDescent="0.3">
      <c r="A11" s="20" t="s">
        <v>217</v>
      </c>
      <c r="B11" s="21">
        <v>0.6</v>
      </c>
    </row>
    <row r="12" spans="1:4" ht="18" customHeight="1" x14ac:dyDescent="0.3">
      <c r="A12" s="20" t="s">
        <v>218</v>
      </c>
      <c r="B12" s="21">
        <v>0.1</v>
      </c>
    </row>
    <row r="13" spans="1:4" ht="18" customHeight="1" x14ac:dyDescent="0.3">
      <c r="A13" s="20" t="s">
        <v>219</v>
      </c>
      <c r="B13" s="21">
        <v>1.1279999999999999</v>
      </c>
    </row>
    <row r="14" spans="1:4" ht="18" customHeight="1" x14ac:dyDescent="0.3">
      <c r="A14" s="20" t="s">
        <v>220</v>
      </c>
      <c r="B14" s="21">
        <v>1.1279999999999999</v>
      </c>
    </row>
    <row r="16" spans="1:4" ht="18" customHeight="1" x14ac:dyDescent="0.3">
      <c r="A16" s="51" t="s">
        <v>221</v>
      </c>
      <c r="B16" s="51"/>
      <c r="C16" s="51"/>
      <c r="D16" s="51"/>
    </row>
    <row r="17" spans="1:4" ht="18" customHeight="1" x14ac:dyDescent="0.3">
      <c r="A17" s="20" t="s">
        <v>222</v>
      </c>
      <c r="B17" s="27">
        <f>B8/B13</f>
        <v>7.0921985815602842E-2</v>
      </c>
      <c r="D17" s="25" t="s">
        <v>223</v>
      </c>
    </row>
    <row r="18" spans="1:4" ht="18" customHeight="1" x14ac:dyDescent="0.3">
      <c r="A18" s="20" t="s">
        <v>224</v>
      </c>
      <c r="B18" s="27">
        <f>((B9/B14)^2)-((B17^2)/(B5*B7))</f>
        <v>1.4146672702580359E-2</v>
      </c>
      <c r="D18" s="25" t="s">
        <v>225</v>
      </c>
    </row>
    <row r="19" spans="1:4" ht="18" customHeight="1" x14ac:dyDescent="0.3">
      <c r="A19" s="20" t="s">
        <v>226</v>
      </c>
      <c r="B19" s="27">
        <f>SQRT(MAX(0,B18))</f>
        <v>0.11893978603722288</v>
      </c>
      <c r="D19" s="25" t="s">
        <v>227</v>
      </c>
    </row>
    <row r="20" spans="1:4" ht="18" customHeight="1" x14ac:dyDescent="0.3">
      <c r="A20" s="20" t="s">
        <v>228</v>
      </c>
      <c r="B20" s="27">
        <f>B17^2+B19^2</f>
        <v>1.9176600774608931E-2</v>
      </c>
      <c r="D20" s="25" t="s">
        <v>229</v>
      </c>
    </row>
    <row r="21" spans="1:4" ht="18" customHeight="1" x14ac:dyDescent="0.3">
      <c r="A21" s="20" t="s">
        <v>230</v>
      </c>
      <c r="B21" s="27">
        <f>SQRT(B20)</f>
        <v>0.13847960418274213</v>
      </c>
      <c r="D21" s="25" t="s">
        <v>231</v>
      </c>
    </row>
    <row r="22" spans="1:4" ht="18" customHeight="1" x14ac:dyDescent="0.3">
      <c r="A22" s="20" t="s">
        <v>232</v>
      </c>
      <c r="B22" s="27">
        <f>B10/B14</f>
        <v>1.0638297872340425</v>
      </c>
      <c r="D22" s="25" t="s">
        <v>233</v>
      </c>
    </row>
    <row r="23" spans="1:4" ht="18" customHeight="1" x14ac:dyDescent="0.3">
      <c r="A23" s="20" t="s">
        <v>234</v>
      </c>
      <c r="B23" s="27">
        <f>SQRT(B20+B22^2)</f>
        <v>1.0728049296032514</v>
      </c>
      <c r="D23" s="25" t="s">
        <v>235</v>
      </c>
    </row>
    <row r="24" spans="1:4" ht="18" customHeight="1" x14ac:dyDescent="0.3">
      <c r="A24" s="20" t="s">
        <v>236</v>
      </c>
      <c r="B24" s="27">
        <f>B21/B23*100</f>
        <v>12.908181195061729</v>
      </c>
      <c r="D24" s="25" t="s">
        <v>237</v>
      </c>
    </row>
    <row r="25" spans="1:4" ht="18" customHeight="1" x14ac:dyDescent="0.3">
      <c r="A25" s="20" t="s">
        <v>238</v>
      </c>
      <c r="B25" s="27">
        <f>B17/B23*100</f>
        <v>6.6108929832967371</v>
      </c>
      <c r="D25" s="25" t="s">
        <v>239</v>
      </c>
    </row>
    <row r="26" spans="1:4" ht="18" customHeight="1" x14ac:dyDescent="0.3">
      <c r="A26" s="20" t="s">
        <v>240</v>
      </c>
      <c r="B26" s="27">
        <f>B19/B23*100</f>
        <v>11.086804576970916</v>
      </c>
      <c r="D26" s="25" t="s">
        <v>241</v>
      </c>
    </row>
    <row r="27" spans="1:4" ht="18" customHeight="1" x14ac:dyDescent="0.3">
      <c r="A27" s="20" t="s">
        <v>242</v>
      </c>
      <c r="B27" s="27">
        <f>B22/B23*100</f>
        <v>99.163394749451044</v>
      </c>
      <c r="D27" s="25" t="s">
        <v>243</v>
      </c>
    </row>
    <row r="28" spans="1:4" ht="18" customHeight="1" x14ac:dyDescent="0.3">
      <c r="A28" s="20" t="s">
        <v>244</v>
      </c>
      <c r="B28" s="27">
        <f>INT(1.41*B22/B21)</f>
        <v>10</v>
      </c>
      <c r="D28" s="25" t="s">
        <v>245</v>
      </c>
    </row>
    <row r="29" spans="1:4" ht="18" customHeight="1" x14ac:dyDescent="0.3">
      <c r="A29" s="20" t="s">
        <v>246</v>
      </c>
      <c r="B29" s="27">
        <f>B21/(B11/6)*100</f>
        <v>138.47960418274215</v>
      </c>
      <c r="D29" s="25" t="s">
        <v>247</v>
      </c>
    </row>
    <row r="30" spans="1:4" ht="18" customHeight="1" x14ac:dyDescent="0.3">
      <c r="A30" s="20" t="s">
        <v>248</v>
      </c>
      <c r="B30" s="27" t="str">
        <f>IF(B25&lt;10,"Acceptable (&lt;10%)",IF(B25&lt;30,"Marginal (10-30%)","Unacceptable (&gt;30%)"))</f>
        <v>Acceptable (&lt;10%)</v>
      </c>
      <c r="D30" s="25" t="s">
        <v>249</v>
      </c>
    </row>
    <row r="32" spans="1:4" ht="18" customHeight="1" x14ac:dyDescent="0.3">
      <c r="A32" s="51" t="s">
        <v>250</v>
      </c>
      <c r="B32" s="51"/>
      <c r="C32" s="51"/>
      <c r="D32" s="51"/>
    </row>
    <row r="33" spans="1:4" ht="15" customHeight="1" x14ac:dyDescent="0.3">
      <c r="A33" s="1" t="s">
        <v>251</v>
      </c>
      <c r="B33" s="1" t="s">
        <v>109</v>
      </c>
      <c r="C33" s="1" t="s">
        <v>252</v>
      </c>
    </row>
    <row r="34" spans="1:4" ht="15" customHeight="1" x14ac:dyDescent="0.3">
      <c r="A34" s="31" t="s">
        <v>253</v>
      </c>
      <c r="B34" s="31" t="s">
        <v>254</v>
      </c>
      <c r="C34" s="53" t="s">
        <v>255</v>
      </c>
      <c r="D34" s="53"/>
    </row>
    <row r="35" spans="1:4" ht="15" customHeight="1" x14ac:dyDescent="0.3">
      <c r="A35" s="32" t="s">
        <v>256</v>
      </c>
      <c r="B35" s="32" t="s">
        <v>25</v>
      </c>
      <c r="C35" s="53" t="s">
        <v>257</v>
      </c>
      <c r="D35" s="53"/>
    </row>
    <row r="36" spans="1:4" ht="15" customHeight="1" x14ac:dyDescent="0.3">
      <c r="A36" s="32" t="s">
        <v>258</v>
      </c>
      <c r="B36" s="32" t="s">
        <v>259</v>
      </c>
      <c r="C36" s="53" t="s">
        <v>260</v>
      </c>
      <c r="D36" s="53"/>
    </row>
    <row r="37" spans="1:4" ht="15" customHeight="1" x14ac:dyDescent="0.3">
      <c r="A37" s="33" t="s">
        <v>261</v>
      </c>
      <c r="B37" s="33" t="s">
        <v>13</v>
      </c>
      <c r="C37" s="53" t="s">
        <v>262</v>
      </c>
      <c r="D37" s="53"/>
    </row>
  </sheetData>
  <mergeCells count="9">
    <mergeCell ref="C34:D34"/>
    <mergeCell ref="C35:D35"/>
    <mergeCell ref="C36:D36"/>
    <mergeCell ref="C37:D37"/>
    <mergeCell ref="A1:D1"/>
    <mergeCell ref="A2:D2"/>
    <mergeCell ref="A4:D4"/>
    <mergeCell ref="A16:D16"/>
    <mergeCell ref="A32:D32"/>
  </mergeCells>
  <conditionalFormatting sqref="C25">
    <cfRule type="cellIs" dxfId="2" priority="2" operator="lessThan">
      <formula>10</formula>
    </cfRule>
    <cfRule type="cellIs" dxfId="1" priority="3" operator="between">
      <formula>10</formula>
      <formula>30</formula>
    </cfRule>
    <cfRule type="cellIs" dxfId="0" priority="4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showGridLines="0" zoomScaleNormal="100" workbookViewId="0">
      <selection activeCell="H17" sqref="H17"/>
    </sheetView>
  </sheetViews>
  <sheetFormatPr defaultColWidth="8.6640625" defaultRowHeight="14.4" x14ac:dyDescent="0.3"/>
  <cols>
    <col min="1" max="1" width="23.5546875" bestFit="1" customWidth="1"/>
    <col min="2" max="2" width="32.44140625" bestFit="1" customWidth="1"/>
    <col min="3" max="3" width="6.33203125" bestFit="1" customWidth="1"/>
    <col min="4" max="4" width="15.77734375" bestFit="1" customWidth="1"/>
  </cols>
  <sheetData>
    <row r="1" spans="1:4" ht="30" customHeight="1" x14ac:dyDescent="0.3">
      <c r="A1" s="50" t="s">
        <v>263</v>
      </c>
      <c r="B1" s="50"/>
      <c r="C1" s="50"/>
      <c r="D1" s="50"/>
    </row>
    <row r="2" spans="1:4" ht="18" customHeight="1" x14ac:dyDescent="0.3">
      <c r="A2" s="51" t="s">
        <v>264</v>
      </c>
      <c r="B2" s="51"/>
      <c r="C2" s="51"/>
      <c r="D2" s="51"/>
    </row>
    <row r="4" spans="1:4" ht="18" customHeight="1" x14ac:dyDescent="0.3">
      <c r="A4" s="51" t="s">
        <v>265</v>
      </c>
      <c r="B4" s="51"/>
      <c r="C4" s="51"/>
      <c r="D4" s="51"/>
    </row>
    <row r="5" spans="1:4" ht="15" customHeight="1" x14ac:dyDescent="0.3">
      <c r="A5" s="20" t="s">
        <v>266</v>
      </c>
      <c r="B5" s="21">
        <v>4.87</v>
      </c>
      <c r="C5" s="22" t="s">
        <v>267</v>
      </c>
    </row>
    <row r="6" spans="1:4" ht="15" customHeight="1" x14ac:dyDescent="0.3">
      <c r="A6" s="20" t="s">
        <v>268</v>
      </c>
      <c r="B6" s="21">
        <v>5</v>
      </c>
      <c r="C6" s="22" t="s">
        <v>267</v>
      </c>
    </row>
    <row r="7" spans="1:4" ht="15" customHeight="1" x14ac:dyDescent="0.3">
      <c r="A7" s="20" t="s">
        <v>269</v>
      </c>
      <c r="B7" s="21">
        <v>0.18</v>
      </c>
      <c r="C7" s="22" t="s">
        <v>267</v>
      </c>
    </row>
    <row r="8" spans="1:4" ht="15" customHeight="1" x14ac:dyDescent="0.3">
      <c r="A8" s="20" t="s">
        <v>270</v>
      </c>
      <c r="B8" s="21">
        <v>15</v>
      </c>
      <c r="C8" s="22" t="s">
        <v>153</v>
      </c>
    </row>
    <row r="9" spans="1:4" ht="15" customHeight="1" x14ac:dyDescent="0.3">
      <c r="A9" s="20" t="s">
        <v>271</v>
      </c>
      <c r="B9" s="21">
        <v>0.05</v>
      </c>
      <c r="C9" s="22" t="s">
        <v>153</v>
      </c>
    </row>
    <row r="11" spans="1:4" ht="18" customHeight="1" x14ac:dyDescent="0.3">
      <c r="A11" s="51" t="s">
        <v>272</v>
      </c>
      <c r="B11" s="51"/>
      <c r="C11" s="51"/>
      <c r="D11" s="51"/>
    </row>
    <row r="12" spans="1:4" ht="15" customHeight="1" x14ac:dyDescent="0.3">
      <c r="A12" s="20" t="s">
        <v>273</v>
      </c>
      <c r="B12" s="23">
        <f>(B5-B6)/(B7/SQRT(B8))</f>
        <v>-2.7971546389275765</v>
      </c>
      <c r="D12" s="25" t="s">
        <v>274</v>
      </c>
    </row>
    <row r="13" spans="1:4" ht="15" customHeight="1" x14ac:dyDescent="0.3">
      <c r="A13" s="20" t="s">
        <v>275</v>
      </c>
      <c r="B13" s="34">
        <f>B8-1</f>
        <v>14</v>
      </c>
      <c r="D13" s="25" t="s">
        <v>276</v>
      </c>
    </row>
    <row r="14" spans="1:4" ht="15" customHeight="1" x14ac:dyDescent="0.3">
      <c r="A14" s="20" t="s">
        <v>277</v>
      </c>
      <c r="B14" s="23">
        <f>TINV(B9,B13)</f>
        <v>2.1447866879178044</v>
      </c>
      <c r="D14" s="25" t="s">
        <v>278</v>
      </c>
    </row>
    <row r="15" spans="1:4" ht="15" customHeight="1" x14ac:dyDescent="0.3">
      <c r="A15" s="20" t="s">
        <v>279</v>
      </c>
      <c r="B15" s="35">
        <f>TDIST(ABS(B12),B13,2)</f>
        <v>1.425995351327421E-2</v>
      </c>
      <c r="D15" s="25" t="s">
        <v>280</v>
      </c>
    </row>
    <row r="16" spans="1:4" ht="15" customHeight="1" x14ac:dyDescent="0.3">
      <c r="A16" s="20" t="s">
        <v>281</v>
      </c>
      <c r="B16" s="27" t="str">
        <f>IF(B15&lt;B9,"REJECT H₀ — significant","FAIL to reject H₀")</f>
        <v>REJECT H₀ — significant</v>
      </c>
      <c r="D16" s="25"/>
    </row>
    <row r="17" spans="1:4" ht="15" customHeight="1" x14ac:dyDescent="0.3">
      <c r="A17" s="20" t="s">
        <v>282</v>
      </c>
      <c r="B17" s="27" t="str">
        <f>IF(B5&lt;B6,"⚠ Below target — hold/investigate","✔ At or above target")</f>
        <v>⚠ Below target — hold/investigate</v>
      </c>
      <c r="D17" s="25"/>
    </row>
    <row r="19" spans="1:4" ht="18" customHeight="1" x14ac:dyDescent="0.3">
      <c r="A19" s="51" t="s">
        <v>283</v>
      </c>
      <c r="B19" s="51"/>
      <c r="C19" s="51"/>
      <c r="D19" s="51"/>
    </row>
    <row r="20" spans="1:4" ht="15" customHeight="1" x14ac:dyDescent="0.3">
      <c r="A20" s="20" t="s">
        <v>284</v>
      </c>
      <c r="B20" s="21">
        <v>331.2</v>
      </c>
      <c r="C20" s="22" t="s">
        <v>84</v>
      </c>
    </row>
    <row r="21" spans="1:4" ht="15" customHeight="1" x14ac:dyDescent="0.3">
      <c r="A21" s="20" t="s">
        <v>285</v>
      </c>
      <c r="B21" s="21">
        <v>333.7</v>
      </c>
      <c r="C21" s="22" t="s">
        <v>84</v>
      </c>
    </row>
    <row r="22" spans="1:4" ht="15" customHeight="1" x14ac:dyDescent="0.3">
      <c r="A22" s="20" t="s">
        <v>286</v>
      </c>
      <c r="B22" s="21">
        <v>1.8</v>
      </c>
      <c r="C22" s="22" t="s">
        <v>84</v>
      </c>
    </row>
    <row r="23" spans="1:4" ht="15" customHeight="1" x14ac:dyDescent="0.3">
      <c r="A23" s="20" t="s">
        <v>287</v>
      </c>
      <c r="B23" s="21">
        <v>2.1</v>
      </c>
      <c r="C23" s="22" t="s">
        <v>84</v>
      </c>
    </row>
    <row r="24" spans="1:4" ht="15" customHeight="1" x14ac:dyDescent="0.3">
      <c r="A24" s="20" t="s">
        <v>288</v>
      </c>
      <c r="B24" s="21">
        <v>40</v>
      </c>
      <c r="C24" s="22" t="s">
        <v>153</v>
      </c>
    </row>
    <row r="25" spans="1:4" ht="15" customHeight="1" x14ac:dyDescent="0.3">
      <c r="A25" s="20" t="s">
        <v>289</v>
      </c>
      <c r="B25" s="21">
        <v>40</v>
      </c>
      <c r="C25" s="22" t="s">
        <v>153</v>
      </c>
    </row>
    <row r="26" spans="1:4" ht="15" customHeight="1" x14ac:dyDescent="0.3">
      <c r="A26" s="20" t="s">
        <v>290</v>
      </c>
      <c r="B26" s="21">
        <v>0.05</v>
      </c>
      <c r="C26" s="22" t="s">
        <v>153</v>
      </c>
    </row>
    <row r="28" spans="1:4" ht="18" customHeight="1" x14ac:dyDescent="0.3">
      <c r="A28" s="51" t="s">
        <v>291</v>
      </c>
      <c r="B28" s="51"/>
      <c r="C28" s="51"/>
      <c r="D28" s="51"/>
    </row>
    <row r="29" spans="1:4" ht="15" customHeight="1" x14ac:dyDescent="0.3">
      <c r="A29" s="20" t="s">
        <v>292</v>
      </c>
      <c r="B29" s="23">
        <f>B20-B21</f>
        <v>-2.5</v>
      </c>
      <c r="D29" s="25" t="s">
        <v>84</v>
      </c>
    </row>
    <row r="30" spans="1:4" ht="15" customHeight="1" x14ac:dyDescent="0.3">
      <c r="A30" s="20" t="s">
        <v>293</v>
      </c>
      <c r="B30" s="23">
        <f>SQRT(B22^2/B24+B23^2/B25)</f>
        <v>0.43732139211339754</v>
      </c>
      <c r="D30" s="25" t="s">
        <v>294</v>
      </c>
    </row>
    <row r="31" spans="1:4" ht="15" customHeight="1" x14ac:dyDescent="0.3">
      <c r="A31" s="20" t="s">
        <v>295</v>
      </c>
      <c r="B31" s="23">
        <f>B29/B30</f>
        <v>-5.7166195047502946</v>
      </c>
      <c r="D31" s="25" t="s">
        <v>296</v>
      </c>
    </row>
    <row r="32" spans="1:4" ht="15" customHeight="1" x14ac:dyDescent="0.3">
      <c r="A32" s="20" t="s">
        <v>297</v>
      </c>
      <c r="B32" s="36">
        <f>(B22^2/B24+B23^2/B25)^2/((B22^2/B24)^2/(B24-1)+(B23^2/B25)^2/(B25-1))</f>
        <v>76.217203137679192</v>
      </c>
      <c r="D32" s="25" t="s">
        <v>298</v>
      </c>
    </row>
    <row r="33" spans="1:4" ht="15" customHeight="1" x14ac:dyDescent="0.3">
      <c r="A33" s="20" t="s">
        <v>299</v>
      </c>
      <c r="B33" s="35">
        <f>TDIST(ABS(B31),B32,2)</f>
        <v>2.0238949927291117E-7</v>
      </c>
      <c r="D33" s="25" t="s">
        <v>300</v>
      </c>
    </row>
    <row r="34" spans="1:4" ht="15" customHeight="1" x14ac:dyDescent="0.3">
      <c r="A34" s="20" t="s">
        <v>281</v>
      </c>
      <c r="B34" s="27" t="str">
        <f>IF(B33&lt;B26,"REJECT H₀ — means differ","FAIL to reject H₀")</f>
        <v>REJECT H₀ — means differ</v>
      </c>
      <c r="D34" s="25"/>
    </row>
    <row r="36" spans="1:4" ht="18" customHeight="1" x14ac:dyDescent="0.3">
      <c r="A36" s="51" t="s">
        <v>301</v>
      </c>
      <c r="B36" s="51"/>
      <c r="C36" s="51"/>
      <c r="D36" s="51"/>
    </row>
    <row r="37" spans="1:4" ht="15" customHeight="1" x14ac:dyDescent="0.3">
      <c r="A37" s="20" t="s">
        <v>302</v>
      </c>
      <c r="B37" s="21">
        <v>1.8</v>
      </c>
      <c r="C37" s="22" t="s">
        <v>303</v>
      </c>
    </row>
    <row r="38" spans="1:4" ht="15" customHeight="1" x14ac:dyDescent="0.3">
      <c r="A38" s="20" t="s">
        <v>304</v>
      </c>
      <c r="B38" s="21">
        <v>2.1</v>
      </c>
      <c r="C38" s="22" t="s">
        <v>303</v>
      </c>
    </row>
    <row r="39" spans="1:4" ht="15" customHeight="1" x14ac:dyDescent="0.3">
      <c r="A39" s="20" t="s">
        <v>305</v>
      </c>
      <c r="B39" s="21">
        <v>20</v>
      </c>
      <c r="C39" s="22" t="s">
        <v>153</v>
      </c>
    </row>
    <row r="40" spans="1:4" ht="15" customHeight="1" x14ac:dyDescent="0.3">
      <c r="A40" s="20" t="s">
        <v>290</v>
      </c>
      <c r="B40" s="21">
        <v>0.05</v>
      </c>
      <c r="C40" s="22" t="s">
        <v>153</v>
      </c>
    </row>
    <row r="42" spans="1:4" ht="18" customHeight="1" x14ac:dyDescent="0.3">
      <c r="A42" s="51" t="s">
        <v>306</v>
      </c>
      <c r="B42" s="51"/>
      <c r="C42" s="51"/>
      <c r="D42" s="51"/>
    </row>
    <row r="43" spans="1:4" ht="15" customHeight="1" x14ac:dyDescent="0.3">
      <c r="A43" s="20" t="s">
        <v>273</v>
      </c>
      <c r="B43" s="23">
        <f>B37/(B38/SQRT(B39))</f>
        <v>3.8332593899996397</v>
      </c>
    </row>
    <row r="44" spans="1:4" ht="15" customHeight="1" x14ac:dyDescent="0.3">
      <c r="A44" s="20" t="s">
        <v>275</v>
      </c>
      <c r="B44" s="34">
        <f>B39-1</f>
        <v>19</v>
      </c>
    </row>
    <row r="45" spans="1:4" ht="15" customHeight="1" x14ac:dyDescent="0.3">
      <c r="A45" s="20" t="s">
        <v>299</v>
      </c>
      <c r="B45" s="35">
        <f>TDIST(ABS(B43),B44,2)</f>
        <v>1.1213222842950481E-3</v>
      </c>
    </row>
    <row r="46" spans="1:4" ht="15" customHeight="1" x14ac:dyDescent="0.3">
      <c r="A46" s="20" t="s">
        <v>281</v>
      </c>
      <c r="B46" s="27" t="str">
        <f>IF(B45&lt;B40,"REJECT H₀ — treatment significant","FAIL to reject H₀")</f>
        <v>REJECT H₀ — treatment significant</v>
      </c>
    </row>
  </sheetData>
  <mergeCells count="8">
    <mergeCell ref="A28:D28"/>
    <mergeCell ref="A36:D36"/>
    <mergeCell ref="A42:D42"/>
    <mergeCell ref="A1:D1"/>
    <mergeCell ref="A2:D2"/>
    <mergeCell ref="A4:D4"/>
    <mergeCell ref="A11:D11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showGridLines="0" zoomScaleNormal="100" workbookViewId="0">
      <selection activeCell="H18" sqref="H18"/>
    </sheetView>
  </sheetViews>
  <sheetFormatPr defaultColWidth="8.6640625" defaultRowHeight="14.4" x14ac:dyDescent="0.3"/>
  <cols>
    <col min="1" max="1" width="15.44140625" bestFit="1" customWidth="1"/>
    <col min="2" max="2" width="22.5546875" bestFit="1" customWidth="1"/>
    <col min="3" max="3" width="20.5546875" bestFit="1" customWidth="1"/>
    <col min="4" max="4" width="12.77734375" bestFit="1" customWidth="1"/>
    <col min="5" max="5" width="8.44140625" bestFit="1" customWidth="1"/>
  </cols>
  <sheetData>
    <row r="1" spans="1:5" ht="30" customHeight="1" x14ac:dyDescent="0.3">
      <c r="A1" s="50" t="s">
        <v>307</v>
      </c>
      <c r="B1" s="50"/>
      <c r="C1" s="50"/>
      <c r="D1" s="50"/>
      <c r="E1" s="50"/>
    </row>
    <row r="2" spans="1:5" ht="18" customHeight="1" x14ac:dyDescent="0.3">
      <c r="A2" s="51" t="s">
        <v>308</v>
      </c>
      <c r="B2" s="51"/>
      <c r="C2" s="51"/>
      <c r="D2" s="51"/>
      <c r="E2" s="51"/>
    </row>
    <row r="4" spans="1:5" ht="15" customHeight="1" x14ac:dyDescent="0.3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</row>
    <row r="5" spans="1:5" ht="15.75" customHeight="1" x14ac:dyDescent="0.3">
      <c r="A5" s="37" t="s">
        <v>314</v>
      </c>
      <c r="B5" s="38">
        <v>10</v>
      </c>
      <c r="C5" s="38">
        <v>0.16</v>
      </c>
      <c r="D5" s="39">
        <f t="shared" ref="D5:D34" si="0">IF(B5=""," ",$B$38+$B$37*B5)</f>
        <v>0.15872841444270008</v>
      </c>
      <c r="E5" s="39">
        <f t="shared" ref="E5:E34" si="1">IF(C5="","",C5-D5)</f>
        <v>1.2715855572999202E-3</v>
      </c>
    </row>
    <row r="6" spans="1:5" ht="15.75" customHeight="1" x14ac:dyDescent="0.3">
      <c r="A6" s="37" t="s">
        <v>315</v>
      </c>
      <c r="B6" s="38">
        <v>12</v>
      </c>
      <c r="C6" s="38">
        <v>0.18</v>
      </c>
      <c r="D6" s="39">
        <f t="shared" si="0"/>
        <v>0.18313657770800623</v>
      </c>
      <c r="E6" s="39">
        <f t="shared" si="1"/>
        <v>-3.1365777080062385E-3</v>
      </c>
    </row>
    <row r="7" spans="1:5" ht="15.75" customHeight="1" x14ac:dyDescent="0.3">
      <c r="A7" s="37" t="s">
        <v>316</v>
      </c>
      <c r="B7" s="38">
        <v>14</v>
      </c>
      <c r="C7" s="38">
        <v>0.21</v>
      </c>
      <c r="D7" s="39">
        <f t="shared" si="0"/>
        <v>0.20754474097331235</v>
      </c>
      <c r="E7" s="39">
        <f t="shared" si="1"/>
        <v>2.4552590266876395E-3</v>
      </c>
    </row>
    <row r="8" spans="1:5" ht="15.75" customHeight="1" x14ac:dyDescent="0.3">
      <c r="A8" s="37" t="s">
        <v>317</v>
      </c>
      <c r="B8" s="38">
        <v>15</v>
      </c>
      <c r="C8" s="38">
        <v>0.22</v>
      </c>
      <c r="D8" s="39">
        <f t="shared" si="0"/>
        <v>0.2197488226059654</v>
      </c>
      <c r="E8" s="39">
        <f t="shared" si="1"/>
        <v>2.5117739403460182E-4</v>
      </c>
    </row>
    <row r="9" spans="1:5" ht="15.75" customHeight="1" x14ac:dyDescent="0.3">
      <c r="A9" s="37" t="s">
        <v>318</v>
      </c>
      <c r="B9" s="38">
        <v>16</v>
      </c>
      <c r="C9" s="38">
        <v>0.23</v>
      </c>
      <c r="D9" s="39">
        <f t="shared" si="0"/>
        <v>0.23195290423861847</v>
      </c>
      <c r="E9" s="39">
        <f t="shared" si="1"/>
        <v>-1.9529042386184636E-3</v>
      </c>
    </row>
    <row r="10" spans="1:5" ht="15.75" customHeight="1" x14ac:dyDescent="0.3">
      <c r="A10" s="37" t="s">
        <v>319</v>
      </c>
      <c r="B10" s="38">
        <v>18</v>
      </c>
      <c r="C10" s="38">
        <v>0.26</v>
      </c>
      <c r="D10" s="39">
        <f t="shared" si="0"/>
        <v>0.25636106750392462</v>
      </c>
      <c r="E10" s="39">
        <f t="shared" si="1"/>
        <v>3.6389324960753866E-3</v>
      </c>
    </row>
    <row r="11" spans="1:5" ht="15.75" customHeight="1" x14ac:dyDescent="0.3">
      <c r="A11" s="37" t="s">
        <v>320</v>
      </c>
      <c r="B11" s="38">
        <v>20</v>
      </c>
      <c r="C11" s="38">
        <v>0.28000000000000003</v>
      </c>
      <c r="D11" s="39">
        <f t="shared" si="0"/>
        <v>0.28076923076923072</v>
      </c>
      <c r="E11" s="39">
        <f t="shared" si="1"/>
        <v>-7.6923076923068878E-4</v>
      </c>
    </row>
    <row r="12" spans="1:5" ht="15.75" customHeight="1" x14ac:dyDescent="0.3">
      <c r="A12" s="37" t="s">
        <v>321</v>
      </c>
      <c r="B12" s="38">
        <v>22</v>
      </c>
      <c r="C12" s="38">
        <v>0.3</v>
      </c>
      <c r="D12" s="39">
        <f t="shared" si="0"/>
        <v>0.30517739403453681</v>
      </c>
      <c r="E12" s="39">
        <f t="shared" si="1"/>
        <v>-5.1773940345368197E-3</v>
      </c>
    </row>
    <row r="13" spans="1:5" ht="15.75" customHeight="1" x14ac:dyDescent="0.3">
      <c r="A13" s="37" t="s">
        <v>322</v>
      </c>
      <c r="B13" s="38">
        <v>24</v>
      </c>
      <c r="C13" s="38">
        <v>0.33</v>
      </c>
      <c r="D13" s="39">
        <f t="shared" si="0"/>
        <v>0.32958555729984296</v>
      </c>
      <c r="E13" s="39">
        <f t="shared" si="1"/>
        <v>4.1444270015705831E-4</v>
      </c>
    </row>
    <row r="14" spans="1:5" ht="15.75" customHeight="1" x14ac:dyDescent="0.3">
      <c r="A14" s="37" t="s">
        <v>323</v>
      </c>
      <c r="B14" s="38">
        <v>25</v>
      </c>
      <c r="C14" s="38">
        <v>0.34</v>
      </c>
      <c r="D14" s="39">
        <f t="shared" si="0"/>
        <v>0.34178963893249603</v>
      </c>
      <c r="E14" s="39">
        <f t="shared" si="1"/>
        <v>-1.7896389324960071E-3</v>
      </c>
    </row>
    <row r="15" spans="1:5" ht="15.75" customHeight="1" x14ac:dyDescent="0.3">
      <c r="A15" s="37" t="s">
        <v>324</v>
      </c>
      <c r="B15" s="38">
        <v>26</v>
      </c>
      <c r="C15" s="38">
        <v>0.36</v>
      </c>
      <c r="D15" s="39">
        <f t="shared" si="0"/>
        <v>0.35399372056514911</v>
      </c>
      <c r="E15" s="39">
        <f t="shared" si="1"/>
        <v>6.0062794348508808E-3</v>
      </c>
    </row>
    <row r="16" spans="1:5" ht="15.75" customHeight="1" x14ac:dyDescent="0.3">
      <c r="A16" s="37" t="s">
        <v>325</v>
      </c>
      <c r="B16" s="38">
        <v>28</v>
      </c>
      <c r="C16" s="38">
        <v>0.38</v>
      </c>
      <c r="D16" s="39">
        <f t="shared" si="0"/>
        <v>0.37840188383045525</v>
      </c>
      <c r="E16" s="39">
        <f t="shared" si="1"/>
        <v>1.5981161695447499E-3</v>
      </c>
    </row>
    <row r="17" spans="1:5" ht="15.75" customHeight="1" x14ac:dyDescent="0.3">
      <c r="A17" s="37" t="s">
        <v>326</v>
      </c>
      <c r="B17" s="38">
        <v>30</v>
      </c>
      <c r="C17" s="38">
        <v>0.4</v>
      </c>
      <c r="D17" s="39">
        <f t="shared" si="0"/>
        <v>0.40281004709576129</v>
      </c>
      <c r="E17" s="39">
        <f t="shared" si="1"/>
        <v>-2.81004709576127E-3</v>
      </c>
    </row>
    <row r="18" spans="1:5" ht="15.75" customHeight="1" x14ac:dyDescent="0.3">
      <c r="A18" s="37" t="s">
        <v>327</v>
      </c>
      <c r="B18" s="38"/>
      <c r="C18" s="38"/>
      <c r="D18" s="39" t="str">
        <f t="shared" si="0"/>
        <v xml:space="preserve"> </v>
      </c>
      <c r="E18" s="39" t="str">
        <f t="shared" si="1"/>
        <v/>
      </c>
    </row>
    <row r="19" spans="1:5" ht="15.75" customHeight="1" x14ac:dyDescent="0.3">
      <c r="A19" s="37" t="s">
        <v>328</v>
      </c>
      <c r="B19" s="38"/>
      <c r="C19" s="38"/>
      <c r="D19" s="39" t="str">
        <f t="shared" si="0"/>
        <v xml:space="preserve"> </v>
      </c>
      <c r="E19" s="39" t="str">
        <f t="shared" si="1"/>
        <v/>
      </c>
    </row>
    <row r="20" spans="1:5" ht="15.75" customHeight="1" x14ac:dyDescent="0.3">
      <c r="A20" s="37" t="s">
        <v>329</v>
      </c>
      <c r="B20" s="38"/>
      <c r="C20" s="38"/>
      <c r="D20" s="39" t="str">
        <f t="shared" si="0"/>
        <v xml:space="preserve"> </v>
      </c>
      <c r="E20" s="39" t="str">
        <f t="shared" si="1"/>
        <v/>
      </c>
    </row>
    <row r="21" spans="1:5" ht="15.75" customHeight="1" x14ac:dyDescent="0.3">
      <c r="A21" s="37" t="s">
        <v>330</v>
      </c>
      <c r="B21" s="38"/>
      <c r="C21" s="38"/>
      <c r="D21" s="39" t="str">
        <f t="shared" si="0"/>
        <v xml:space="preserve"> </v>
      </c>
      <c r="E21" s="39" t="str">
        <f t="shared" si="1"/>
        <v/>
      </c>
    </row>
    <row r="22" spans="1:5" ht="15.75" customHeight="1" x14ac:dyDescent="0.3">
      <c r="A22" s="37" t="s">
        <v>331</v>
      </c>
      <c r="B22" s="38"/>
      <c r="C22" s="38"/>
      <c r="D22" s="39" t="str">
        <f t="shared" si="0"/>
        <v xml:space="preserve"> </v>
      </c>
      <c r="E22" s="39" t="str">
        <f t="shared" si="1"/>
        <v/>
      </c>
    </row>
    <row r="23" spans="1:5" ht="15.75" customHeight="1" x14ac:dyDescent="0.3">
      <c r="A23" s="37" t="s">
        <v>332</v>
      </c>
      <c r="B23" s="38"/>
      <c r="C23" s="38"/>
      <c r="D23" s="39" t="str">
        <f t="shared" si="0"/>
        <v xml:space="preserve"> </v>
      </c>
      <c r="E23" s="39" t="str">
        <f t="shared" si="1"/>
        <v/>
      </c>
    </row>
    <row r="24" spans="1:5" ht="15.75" customHeight="1" x14ac:dyDescent="0.3">
      <c r="A24" s="37" t="s">
        <v>333</v>
      </c>
      <c r="B24" s="38"/>
      <c r="C24" s="38"/>
      <c r="D24" s="39" t="str">
        <f t="shared" si="0"/>
        <v xml:space="preserve"> </v>
      </c>
      <c r="E24" s="39" t="str">
        <f t="shared" si="1"/>
        <v/>
      </c>
    </row>
    <row r="25" spans="1:5" ht="15.75" customHeight="1" x14ac:dyDescent="0.3">
      <c r="A25" s="37" t="s">
        <v>334</v>
      </c>
      <c r="B25" s="38"/>
      <c r="C25" s="38"/>
      <c r="D25" s="39" t="str">
        <f t="shared" si="0"/>
        <v xml:space="preserve"> </v>
      </c>
      <c r="E25" s="39" t="str">
        <f t="shared" si="1"/>
        <v/>
      </c>
    </row>
    <row r="26" spans="1:5" ht="15.75" customHeight="1" x14ac:dyDescent="0.3">
      <c r="A26" s="37" t="s">
        <v>335</v>
      </c>
      <c r="B26" s="38"/>
      <c r="C26" s="38"/>
      <c r="D26" s="39" t="str">
        <f t="shared" si="0"/>
        <v xml:space="preserve"> </v>
      </c>
      <c r="E26" s="39" t="str">
        <f t="shared" si="1"/>
        <v/>
      </c>
    </row>
    <row r="27" spans="1:5" ht="15.75" customHeight="1" x14ac:dyDescent="0.3">
      <c r="A27" s="37" t="s">
        <v>336</v>
      </c>
      <c r="B27" s="38"/>
      <c r="C27" s="38"/>
      <c r="D27" s="39" t="str">
        <f t="shared" si="0"/>
        <v xml:space="preserve"> </v>
      </c>
      <c r="E27" s="39" t="str">
        <f t="shared" si="1"/>
        <v/>
      </c>
    </row>
    <row r="28" spans="1:5" ht="15.75" customHeight="1" x14ac:dyDescent="0.3">
      <c r="A28" s="37" t="s">
        <v>337</v>
      </c>
      <c r="B28" s="38"/>
      <c r="C28" s="38"/>
      <c r="D28" s="39" t="str">
        <f t="shared" si="0"/>
        <v xml:space="preserve"> </v>
      </c>
      <c r="E28" s="39" t="str">
        <f t="shared" si="1"/>
        <v/>
      </c>
    </row>
    <row r="29" spans="1:5" ht="15.75" customHeight="1" x14ac:dyDescent="0.3">
      <c r="A29" s="37" t="s">
        <v>338</v>
      </c>
      <c r="B29" s="38"/>
      <c r="C29" s="38"/>
      <c r="D29" s="39" t="str">
        <f t="shared" si="0"/>
        <v xml:space="preserve"> </v>
      </c>
      <c r="E29" s="39" t="str">
        <f t="shared" si="1"/>
        <v/>
      </c>
    </row>
    <row r="30" spans="1:5" ht="15.75" customHeight="1" x14ac:dyDescent="0.3">
      <c r="A30" s="37" t="s">
        <v>339</v>
      </c>
      <c r="B30" s="38"/>
      <c r="C30" s="38"/>
      <c r="D30" s="39" t="str">
        <f t="shared" si="0"/>
        <v xml:space="preserve"> </v>
      </c>
      <c r="E30" s="39" t="str">
        <f t="shared" si="1"/>
        <v/>
      </c>
    </row>
    <row r="31" spans="1:5" ht="15.75" customHeight="1" x14ac:dyDescent="0.3">
      <c r="A31" s="37" t="s">
        <v>340</v>
      </c>
      <c r="B31" s="38"/>
      <c r="C31" s="38"/>
      <c r="D31" s="39" t="str">
        <f t="shared" si="0"/>
        <v xml:space="preserve"> </v>
      </c>
      <c r="E31" s="39" t="str">
        <f t="shared" si="1"/>
        <v/>
      </c>
    </row>
    <row r="32" spans="1:5" ht="15.75" customHeight="1" x14ac:dyDescent="0.3">
      <c r="A32" s="37" t="s">
        <v>341</v>
      </c>
      <c r="B32" s="38"/>
      <c r="C32" s="38"/>
      <c r="D32" s="39" t="str">
        <f t="shared" si="0"/>
        <v xml:space="preserve"> </v>
      </c>
      <c r="E32" s="39" t="str">
        <f t="shared" si="1"/>
        <v/>
      </c>
    </row>
    <row r="33" spans="1:5" ht="15.75" customHeight="1" x14ac:dyDescent="0.3">
      <c r="A33" s="37" t="s">
        <v>342</v>
      </c>
      <c r="B33" s="38"/>
      <c r="C33" s="38"/>
      <c r="D33" s="39" t="str">
        <f t="shared" si="0"/>
        <v xml:space="preserve"> </v>
      </c>
      <c r="E33" s="39" t="str">
        <f t="shared" si="1"/>
        <v/>
      </c>
    </row>
    <row r="34" spans="1:5" ht="15.75" customHeight="1" x14ac:dyDescent="0.3">
      <c r="A34" s="37" t="s">
        <v>343</v>
      </c>
      <c r="B34" s="38"/>
      <c r="C34" s="38"/>
      <c r="D34" s="39" t="str">
        <f t="shared" si="0"/>
        <v xml:space="preserve"> </v>
      </c>
      <c r="E34" s="39" t="str">
        <f t="shared" si="1"/>
        <v/>
      </c>
    </row>
    <row r="36" spans="1:5" ht="18" customHeight="1" x14ac:dyDescent="0.3">
      <c r="A36" s="51" t="s">
        <v>344</v>
      </c>
      <c r="B36" s="51"/>
      <c r="C36" s="51"/>
      <c r="D36" s="51"/>
      <c r="E36" s="51"/>
    </row>
    <row r="37" spans="1:5" ht="18" customHeight="1" x14ac:dyDescent="0.3">
      <c r="A37" s="20" t="s">
        <v>345</v>
      </c>
      <c r="B37" s="30">
        <f>SLOPE(C5:C34,B5:B34)</f>
        <v>1.2204081632653062E-2</v>
      </c>
    </row>
    <row r="38" spans="1:5" ht="18" customHeight="1" x14ac:dyDescent="0.3">
      <c r="A38" s="20" t="s">
        <v>346</v>
      </c>
      <c r="B38" s="30">
        <f>INTERCEPT(C5:C34,B5:B34)</f>
        <v>3.6687598116169479E-2</v>
      </c>
    </row>
    <row r="39" spans="1:5" ht="18" customHeight="1" x14ac:dyDescent="0.3">
      <c r="A39" s="20" t="s">
        <v>347</v>
      </c>
      <c r="B39" s="35">
        <f>CORREL(C5:C34,B5:B34)</f>
        <v>0.99923423959988966</v>
      </c>
    </row>
    <row r="40" spans="1:5" ht="18" customHeight="1" x14ac:dyDescent="0.3">
      <c r="A40" s="20" t="s">
        <v>348</v>
      </c>
      <c r="B40" s="35">
        <f>B39^2</f>
        <v>0.99846906558876969</v>
      </c>
    </row>
    <row r="41" spans="1:5" ht="18" customHeight="1" x14ac:dyDescent="0.3">
      <c r="A41" s="20" t="s">
        <v>349</v>
      </c>
      <c r="B41" s="35">
        <f>1-(1-B39^2)*(B42-1)/(B42-2)</f>
        <v>0.99832988973320325</v>
      </c>
    </row>
    <row r="42" spans="1:5" ht="18" customHeight="1" x14ac:dyDescent="0.3">
      <c r="A42" s="20" t="s">
        <v>350</v>
      </c>
      <c r="B42" s="34">
        <f>COUNT(B5:B34)</f>
        <v>13</v>
      </c>
    </row>
    <row r="43" spans="1:5" ht="18" customHeight="1" x14ac:dyDescent="0.3">
      <c r="A43" s="20" t="s">
        <v>351</v>
      </c>
      <c r="B43" s="30" t="str">
        <f>IFERROR(SQRT(SUMPRODUCT((C5:C34-D5:D34)^2)/MAX(1,B42-2)),"n/a")</f>
        <v>n/a</v>
      </c>
    </row>
    <row r="44" spans="1:5" ht="18" customHeight="1" x14ac:dyDescent="0.3">
      <c r="A44" s="20" t="s">
        <v>352</v>
      </c>
      <c r="B44" s="27" t="str">
        <f>"Y = "&amp;ROUND(C36,4)&amp;" + "&amp;ROUND(C35,4)&amp;" * X"</f>
        <v>Y = 0 + 0 * X</v>
      </c>
    </row>
    <row r="45" spans="1:5" ht="18" customHeight="1" x14ac:dyDescent="0.3">
      <c r="A45" s="20" t="s">
        <v>353</v>
      </c>
      <c r="B45" s="27" t="str">
        <f>IF(ABS(C38)&gt;0.7,"Strong",IF(ABS(C38)&gt;0.3,"Moderate","Weak"))&amp;IF(C38&gt;0," positive"," negative")</f>
        <v>Weak negative</v>
      </c>
    </row>
    <row r="46" spans="1:5" ht="18" customHeight="1" x14ac:dyDescent="0.3">
      <c r="A46" s="20" t="s">
        <v>354</v>
      </c>
      <c r="B46" s="27" t="str">
        <f>IF(ABS(B39)*SQRT(B42-2)/SQRT(MAX(0.00001,1-B39^2))&gt;TINV(0.05,B42-2),"Significant (p&lt;0.05)","Not significant")</f>
        <v>Significant (p&lt;0.05)</v>
      </c>
    </row>
  </sheetData>
  <mergeCells count="3">
    <mergeCell ref="A1:E1"/>
    <mergeCell ref="A2:E2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showGridLines="0" topLeftCell="A5" zoomScaleNormal="100" workbookViewId="0">
      <selection activeCell="B28" sqref="B28"/>
    </sheetView>
  </sheetViews>
  <sheetFormatPr defaultColWidth="8.6640625" defaultRowHeight="14.4" x14ac:dyDescent="0.3"/>
  <cols>
    <col min="1" max="1" width="20" customWidth="1"/>
    <col min="2" max="2" width="43.33203125" bestFit="1" customWidth="1"/>
    <col min="3" max="3" width="8.6640625" bestFit="1" customWidth="1"/>
    <col min="4" max="4" width="9" bestFit="1" customWidth="1"/>
    <col min="5" max="5" width="5.5546875" bestFit="1" customWidth="1"/>
    <col min="6" max="6" width="3.5546875" bestFit="1" customWidth="1"/>
    <col min="7" max="7" width="3.6640625" bestFit="1" customWidth="1"/>
    <col min="8" max="8" width="12.109375" bestFit="1" customWidth="1"/>
  </cols>
  <sheetData>
    <row r="1" spans="1:8" ht="30" customHeight="1" x14ac:dyDescent="0.3">
      <c r="A1" s="50" t="s">
        <v>355</v>
      </c>
      <c r="B1" s="50"/>
      <c r="C1" s="50"/>
      <c r="D1" s="50"/>
      <c r="E1" s="50"/>
      <c r="F1" s="50"/>
      <c r="G1" s="50"/>
      <c r="H1" s="50"/>
    </row>
    <row r="2" spans="1:8" ht="18" customHeight="1" x14ac:dyDescent="0.3">
      <c r="A2" s="51" t="s">
        <v>356</v>
      </c>
      <c r="B2" s="51"/>
      <c r="C2" s="51"/>
      <c r="D2" s="51"/>
      <c r="E2" s="51"/>
      <c r="F2" s="51"/>
      <c r="G2" s="51"/>
      <c r="H2" s="51"/>
    </row>
    <row r="4" spans="1:8" ht="18" customHeight="1" x14ac:dyDescent="0.3">
      <c r="A4" s="51" t="s">
        <v>357</v>
      </c>
      <c r="B4" s="51"/>
      <c r="C4" s="51"/>
      <c r="D4" s="51"/>
      <c r="E4" s="51"/>
      <c r="F4" s="51"/>
      <c r="G4" s="51"/>
      <c r="H4" s="51"/>
    </row>
    <row r="5" spans="1:8" ht="15" customHeight="1" x14ac:dyDescent="0.3">
      <c r="A5" s="1" t="s">
        <v>358</v>
      </c>
      <c r="B5" s="1" t="s">
        <v>359</v>
      </c>
      <c r="C5" s="1" t="s">
        <v>360</v>
      </c>
      <c r="D5" s="1" t="s">
        <v>361</v>
      </c>
      <c r="E5" s="1" t="s">
        <v>362</v>
      </c>
    </row>
    <row r="6" spans="1:8" ht="15" customHeight="1" x14ac:dyDescent="0.3">
      <c r="A6" s="40" t="s">
        <v>363</v>
      </c>
      <c r="B6" s="21" t="s">
        <v>364</v>
      </c>
      <c r="C6" s="21">
        <v>2.8</v>
      </c>
      <c r="D6" s="21">
        <v>3.4</v>
      </c>
      <c r="E6" s="22" t="s">
        <v>365</v>
      </c>
    </row>
    <row r="7" spans="1:8" ht="15" customHeight="1" x14ac:dyDescent="0.3">
      <c r="A7" s="40" t="s">
        <v>366</v>
      </c>
      <c r="B7" s="21" t="s">
        <v>367</v>
      </c>
      <c r="C7" s="21">
        <v>2</v>
      </c>
      <c r="D7" s="21">
        <v>8</v>
      </c>
      <c r="E7" s="22" t="s">
        <v>368</v>
      </c>
    </row>
    <row r="8" spans="1:8" ht="15" customHeight="1" x14ac:dyDescent="0.3">
      <c r="A8" s="40" t="s">
        <v>369</v>
      </c>
      <c r="B8" s="21" t="s">
        <v>370</v>
      </c>
      <c r="C8" s="21">
        <v>4</v>
      </c>
      <c r="D8" s="21">
        <v>6</v>
      </c>
      <c r="E8" s="22" t="s">
        <v>371</v>
      </c>
    </row>
    <row r="10" spans="1:8" ht="18" customHeight="1" x14ac:dyDescent="0.3">
      <c r="A10" s="51" t="s">
        <v>372</v>
      </c>
      <c r="B10" s="51"/>
      <c r="C10" s="51"/>
      <c r="D10" s="51"/>
      <c r="E10" s="51"/>
      <c r="F10" s="51"/>
      <c r="G10" s="51"/>
      <c r="H10" s="51"/>
    </row>
    <row r="11" spans="1:8" ht="15" customHeight="1" x14ac:dyDescent="0.3">
      <c r="A11" s="1" t="s">
        <v>373</v>
      </c>
      <c r="B11" s="1" t="s">
        <v>363</v>
      </c>
      <c r="C11" s="1" t="s">
        <v>366</v>
      </c>
      <c r="D11" s="1" t="s">
        <v>369</v>
      </c>
      <c r="E11" s="1" t="s">
        <v>374</v>
      </c>
      <c r="F11" s="1" t="s">
        <v>375</v>
      </c>
      <c r="G11" s="1" t="s">
        <v>376</v>
      </c>
      <c r="H11" s="1" t="s">
        <v>377</v>
      </c>
    </row>
    <row r="12" spans="1:8" ht="15" customHeight="1" x14ac:dyDescent="0.3">
      <c r="A12" s="37">
        <v>1</v>
      </c>
      <c r="B12" s="41">
        <v>-1</v>
      </c>
      <c r="C12" s="41">
        <v>-1</v>
      </c>
      <c r="D12" s="41">
        <v>-1</v>
      </c>
      <c r="E12" s="42">
        <f t="shared" ref="E12:E19" si="0">B12*C12</f>
        <v>1</v>
      </c>
      <c r="F12" s="42">
        <f t="shared" ref="F12:F19" si="1">B12*D12</f>
        <v>1</v>
      </c>
      <c r="G12" s="42">
        <f t="shared" ref="G12:G19" si="2">C12*D12</f>
        <v>1</v>
      </c>
      <c r="H12" s="43">
        <v>2.41</v>
      </c>
    </row>
    <row r="13" spans="1:8" ht="15" customHeight="1" x14ac:dyDescent="0.3">
      <c r="A13" s="37">
        <v>2</v>
      </c>
      <c r="B13" s="44">
        <v>1</v>
      </c>
      <c r="C13" s="41">
        <v>-1</v>
      </c>
      <c r="D13" s="41">
        <v>-1</v>
      </c>
      <c r="E13" s="42">
        <f t="shared" si="0"/>
        <v>-1</v>
      </c>
      <c r="F13" s="42">
        <f t="shared" si="1"/>
        <v>-1</v>
      </c>
      <c r="G13" s="42">
        <f t="shared" si="2"/>
        <v>1</v>
      </c>
      <c r="H13" s="43">
        <v>2.74</v>
      </c>
    </row>
    <row r="14" spans="1:8" ht="15" customHeight="1" x14ac:dyDescent="0.3">
      <c r="A14" s="37">
        <v>3</v>
      </c>
      <c r="B14" s="41">
        <v>-1</v>
      </c>
      <c r="C14" s="44">
        <v>1</v>
      </c>
      <c r="D14" s="41">
        <v>-1</v>
      </c>
      <c r="E14" s="42">
        <f t="shared" si="0"/>
        <v>-1</v>
      </c>
      <c r="F14" s="42">
        <f t="shared" si="1"/>
        <v>1</v>
      </c>
      <c r="G14" s="42">
        <f t="shared" si="2"/>
        <v>-1</v>
      </c>
      <c r="H14" s="43">
        <v>2.25</v>
      </c>
    </row>
    <row r="15" spans="1:8" ht="15" customHeight="1" x14ac:dyDescent="0.3">
      <c r="A15" s="37">
        <v>4</v>
      </c>
      <c r="B15" s="44">
        <v>1</v>
      </c>
      <c r="C15" s="44">
        <v>1</v>
      </c>
      <c r="D15" s="41">
        <v>-1</v>
      </c>
      <c r="E15" s="42">
        <f t="shared" si="0"/>
        <v>1</v>
      </c>
      <c r="F15" s="42">
        <f t="shared" si="1"/>
        <v>-1</v>
      </c>
      <c r="G15" s="42">
        <f t="shared" si="2"/>
        <v>-1</v>
      </c>
      <c r="H15" s="43">
        <v>2.56</v>
      </c>
    </row>
    <row r="16" spans="1:8" ht="15" customHeight="1" x14ac:dyDescent="0.3">
      <c r="A16" s="37">
        <v>5</v>
      </c>
      <c r="B16" s="41">
        <v>-1</v>
      </c>
      <c r="C16" s="41">
        <v>-1</v>
      </c>
      <c r="D16" s="44">
        <v>1</v>
      </c>
      <c r="E16" s="42">
        <f t="shared" si="0"/>
        <v>1</v>
      </c>
      <c r="F16" s="42">
        <f t="shared" si="1"/>
        <v>-1</v>
      </c>
      <c r="G16" s="42">
        <f t="shared" si="2"/>
        <v>-1</v>
      </c>
      <c r="H16" s="43">
        <v>2.4300000000000002</v>
      </c>
    </row>
    <row r="17" spans="1:8" ht="15" customHeight="1" x14ac:dyDescent="0.3">
      <c r="A17" s="37">
        <v>6</v>
      </c>
      <c r="B17" s="44">
        <v>1</v>
      </c>
      <c r="C17" s="41">
        <v>-1</v>
      </c>
      <c r="D17" s="44">
        <v>1</v>
      </c>
      <c r="E17" s="42">
        <f t="shared" si="0"/>
        <v>-1</v>
      </c>
      <c r="F17" s="42">
        <f t="shared" si="1"/>
        <v>1</v>
      </c>
      <c r="G17" s="42">
        <f t="shared" si="2"/>
        <v>-1</v>
      </c>
      <c r="H17" s="43">
        <v>2.76</v>
      </c>
    </row>
    <row r="18" spans="1:8" ht="15" customHeight="1" x14ac:dyDescent="0.3">
      <c r="A18" s="37">
        <v>7</v>
      </c>
      <c r="B18" s="41">
        <v>-1</v>
      </c>
      <c r="C18" s="44">
        <v>1</v>
      </c>
      <c r="D18" s="44">
        <v>1</v>
      </c>
      <c r="E18" s="42">
        <f t="shared" si="0"/>
        <v>-1</v>
      </c>
      <c r="F18" s="42">
        <f t="shared" si="1"/>
        <v>-1</v>
      </c>
      <c r="G18" s="42">
        <f t="shared" si="2"/>
        <v>1</v>
      </c>
      <c r="H18" s="43">
        <v>2.2799999999999998</v>
      </c>
    </row>
    <row r="19" spans="1:8" ht="15" customHeight="1" x14ac:dyDescent="0.3">
      <c r="A19" s="37">
        <v>8</v>
      </c>
      <c r="B19" s="44">
        <v>1</v>
      </c>
      <c r="C19" s="44">
        <v>1</v>
      </c>
      <c r="D19" s="44">
        <v>1</v>
      </c>
      <c r="E19" s="42">
        <f t="shared" si="0"/>
        <v>1</v>
      </c>
      <c r="F19" s="42">
        <f t="shared" si="1"/>
        <v>1</v>
      </c>
      <c r="G19" s="42">
        <f t="shared" si="2"/>
        <v>1</v>
      </c>
      <c r="H19" s="43">
        <v>2.59</v>
      </c>
    </row>
    <row r="21" spans="1:8" ht="18" customHeight="1" x14ac:dyDescent="0.3">
      <c r="A21" s="51" t="s">
        <v>378</v>
      </c>
      <c r="B21" s="51"/>
      <c r="C21" s="51"/>
      <c r="D21" s="51"/>
      <c r="E21" s="51"/>
      <c r="F21" s="51"/>
      <c r="G21" s="51"/>
      <c r="H21" s="51"/>
    </row>
    <row r="22" spans="1:8" ht="15" customHeight="1" x14ac:dyDescent="0.3">
      <c r="A22" s="1" t="s">
        <v>379</v>
      </c>
      <c r="B22" s="1" t="s">
        <v>380</v>
      </c>
      <c r="C22" s="59" t="s">
        <v>381</v>
      </c>
      <c r="D22" s="59"/>
    </row>
    <row r="23" spans="1:8" ht="15" customHeight="1" x14ac:dyDescent="0.3">
      <c r="A23" s="20" t="s">
        <v>382</v>
      </c>
      <c r="B23" s="45">
        <f>AVERAGE(H12:H19)</f>
        <v>2.5024999999999999</v>
      </c>
      <c r="C23" s="58" t="s">
        <v>383</v>
      </c>
      <c r="D23" s="58"/>
      <c r="E23" s="58"/>
      <c r="F23" s="58"/>
      <c r="G23" s="58"/>
      <c r="H23" s="58"/>
    </row>
    <row r="24" spans="1:8" ht="15" customHeight="1" x14ac:dyDescent="0.3">
      <c r="A24" s="20" t="s">
        <v>384</v>
      </c>
      <c r="B24" s="45">
        <f>(H13+H15+H17+H19-H12-H14-H16-H18)/4</f>
        <v>0.32000000000000006</v>
      </c>
      <c r="C24" s="58" t="s">
        <v>385</v>
      </c>
      <c r="D24" s="58"/>
      <c r="E24" s="58"/>
      <c r="F24" s="58"/>
      <c r="G24" s="58"/>
      <c r="H24" s="58"/>
    </row>
    <row r="25" spans="1:8" ht="15" customHeight="1" x14ac:dyDescent="0.3">
      <c r="A25" s="20" t="s">
        <v>386</v>
      </c>
      <c r="B25" s="45">
        <f>(H14+H15+H18+H19-H12-H13-H16-H17)/4</f>
        <v>-0.16500000000000015</v>
      </c>
      <c r="C25" s="58" t="s">
        <v>387</v>
      </c>
      <c r="D25" s="58"/>
      <c r="E25" s="58"/>
      <c r="F25" s="58"/>
      <c r="G25" s="58"/>
      <c r="H25" s="58"/>
    </row>
    <row r="26" spans="1:8" ht="15" customHeight="1" x14ac:dyDescent="0.3">
      <c r="A26" s="20" t="s">
        <v>388</v>
      </c>
      <c r="B26" s="45">
        <f>(H16+H17+H18+H19-H12-H13-H14-H15)/4</f>
        <v>2.4999999999999578E-2</v>
      </c>
      <c r="C26" s="58" t="s">
        <v>389</v>
      </c>
      <c r="D26" s="58"/>
      <c r="E26" s="58"/>
      <c r="F26" s="58"/>
      <c r="G26" s="58"/>
      <c r="H26" s="58"/>
    </row>
    <row r="27" spans="1:8" ht="15" customHeight="1" x14ac:dyDescent="0.3">
      <c r="A27" s="20" t="s">
        <v>390</v>
      </c>
      <c r="B27" s="45">
        <f>(H12+H15+H18+H14-H13-H16-H17-H19)/4</f>
        <v>-0.25499999999999989</v>
      </c>
      <c r="C27" s="58" t="s">
        <v>391</v>
      </c>
      <c r="D27" s="58"/>
      <c r="E27" s="58"/>
      <c r="F27" s="58"/>
      <c r="G27" s="58"/>
      <c r="H27" s="58"/>
    </row>
    <row r="28" spans="1:8" ht="15" customHeight="1" x14ac:dyDescent="0.3">
      <c r="A28" s="20" t="s">
        <v>392</v>
      </c>
      <c r="B28" s="45">
        <f>(H12+H16+H15+H19-H13-H17-H14-H18)/4</f>
        <v>-9.9999999999998979E-3</v>
      </c>
      <c r="C28" s="58" t="s">
        <v>391</v>
      </c>
      <c r="D28" s="58"/>
      <c r="E28" s="58"/>
      <c r="F28" s="58"/>
      <c r="G28" s="58"/>
      <c r="H28" s="58"/>
    </row>
    <row r="29" spans="1:8" ht="15" customHeight="1" x14ac:dyDescent="0.3">
      <c r="A29" s="20" t="s">
        <v>393</v>
      </c>
      <c r="B29" s="45">
        <f>(H12+H14+H16+H18-H13-H15-H17-H19)/4</f>
        <v>-0.32000000000000028</v>
      </c>
      <c r="C29" s="58" t="s">
        <v>391</v>
      </c>
      <c r="D29" s="58"/>
      <c r="E29" s="58"/>
      <c r="F29" s="58"/>
      <c r="G29" s="58"/>
      <c r="H29" s="58"/>
    </row>
    <row r="31" spans="1:8" ht="18" customHeight="1" x14ac:dyDescent="0.3">
      <c r="A31" s="51" t="s">
        <v>394</v>
      </c>
      <c r="B31" s="51"/>
      <c r="C31" s="51"/>
      <c r="D31" s="51"/>
      <c r="E31" s="51"/>
      <c r="F31" s="51"/>
      <c r="G31" s="51"/>
      <c r="H31" s="51"/>
    </row>
    <row r="32" spans="1:8" ht="15" customHeight="1" x14ac:dyDescent="0.3">
      <c r="A32" s="20" t="s">
        <v>395</v>
      </c>
      <c r="B32" s="27" t="str">
        <f>IF(B24&gt;0,"High: "&amp;C7&amp;" bar","Low: "&amp;B7&amp;" bar")</f>
        <v>High: 2 bar</v>
      </c>
    </row>
    <row r="33" spans="1:2" ht="15" customHeight="1" x14ac:dyDescent="0.3">
      <c r="A33" s="20" t="s">
        <v>396</v>
      </c>
      <c r="B33" s="27" t="str">
        <f>IF(B25&lt;0,"Low: "&amp;B8&amp;" °C  (low temp = higher CO₂)","High: "&amp;C8&amp;" °C")</f>
        <v>Low: Flow Velocity °C  (low temp = higher CO₂)</v>
      </c>
    </row>
    <row r="34" spans="1:2" ht="15" customHeight="1" x14ac:dyDescent="0.3">
      <c r="A34" s="20" t="s">
        <v>397</v>
      </c>
      <c r="B34" s="27" t="str">
        <f>IF(B26&gt;0,"High: "&amp;C9&amp;" m/s","Low: "&amp;B9&amp;" m/s")</f>
        <v>High:  m/s</v>
      </c>
    </row>
    <row r="35" spans="1:2" ht="15" customHeight="1" x14ac:dyDescent="0.3">
      <c r="A35" s="20" t="s">
        <v>398</v>
      </c>
      <c r="B35" s="27">
        <f>B23+ABS(B24)/2+ABS(B25)/2+ABS(B26)/2</f>
        <v>2.7574999999999998</v>
      </c>
    </row>
    <row r="36" spans="1:2" ht="15" customHeight="1" x14ac:dyDescent="0.3">
      <c r="A36" s="20" t="s">
        <v>399</v>
      </c>
      <c r="B36" s="27" t="str">
        <f>IF(ABS(B24)&gt;=MAX(ABS(B24),ABS(B25),ABS(B26)),"A: Pressure",IF(ABS(B25)&gt;=ABS(B26),"B: Temperature","C: Velocity"))</f>
        <v>A: Pressure</v>
      </c>
    </row>
  </sheetData>
  <mergeCells count="14">
    <mergeCell ref="A1:H1"/>
    <mergeCell ref="A2:H2"/>
    <mergeCell ref="A4:H4"/>
    <mergeCell ref="A10:H10"/>
    <mergeCell ref="A21:H21"/>
    <mergeCell ref="C27:H27"/>
    <mergeCell ref="C28:H28"/>
    <mergeCell ref="C29:H29"/>
    <mergeCell ref="A31:H31"/>
    <mergeCell ref="C22:D22"/>
    <mergeCell ref="C23:H23"/>
    <mergeCell ref="C24:H24"/>
    <mergeCell ref="C25:H25"/>
    <mergeCell ref="C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showGridLines="0" topLeftCell="A13" zoomScaleNormal="100" workbookViewId="0">
      <selection activeCell="H20" sqref="H20"/>
    </sheetView>
  </sheetViews>
  <sheetFormatPr defaultColWidth="8.6640625" defaultRowHeight="14.4" x14ac:dyDescent="0.3"/>
  <cols>
    <col min="1" max="1" width="36.6640625" bestFit="1" customWidth="1"/>
    <col min="2" max="2" width="11.33203125" bestFit="1" customWidth="1"/>
    <col min="3" max="3" width="10.6640625" bestFit="1" customWidth="1"/>
    <col min="4" max="4" width="22.109375" bestFit="1" customWidth="1"/>
  </cols>
  <sheetData>
    <row r="1" spans="1:4" ht="30" customHeight="1" x14ac:dyDescent="0.3">
      <c r="A1" s="50" t="s">
        <v>400</v>
      </c>
      <c r="B1" s="50"/>
      <c r="C1" s="50"/>
      <c r="D1" s="50"/>
    </row>
    <row r="2" spans="1:4" ht="18" customHeight="1" x14ac:dyDescent="0.3">
      <c r="A2" s="51" t="s">
        <v>401</v>
      </c>
      <c r="B2" s="51"/>
      <c r="C2" s="51"/>
      <c r="D2" s="51"/>
    </row>
    <row r="4" spans="1:4" ht="18" customHeight="1" x14ac:dyDescent="0.3">
      <c r="A4" s="51" t="s">
        <v>402</v>
      </c>
      <c r="B4" s="51"/>
      <c r="C4" s="51"/>
      <c r="D4" s="51"/>
    </row>
    <row r="5" spans="1:4" ht="15" customHeight="1" x14ac:dyDescent="0.3">
      <c r="A5" s="20" t="s">
        <v>403</v>
      </c>
      <c r="B5" s="21">
        <v>1.96</v>
      </c>
      <c r="C5" s="22" t="s">
        <v>153</v>
      </c>
      <c r="D5" s="25" t="s">
        <v>404</v>
      </c>
    </row>
    <row r="6" spans="1:4" ht="15" customHeight="1" x14ac:dyDescent="0.3">
      <c r="A6" s="20" t="s">
        <v>405</v>
      </c>
      <c r="B6" s="21">
        <v>0.79500000000000004</v>
      </c>
      <c r="C6" s="22" t="s">
        <v>84</v>
      </c>
      <c r="D6" s="25" t="s">
        <v>406</v>
      </c>
    </row>
    <row r="7" spans="1:4" ht="15" customHeight="1" x14ac:dyDescent="0.3">
      <c r="A7" s="20" t="s">
        <v>407</v>
      </c>
      <c r="B7" s="21">
        <v>0.5</v>
      </c>
      <c r="C7" s="22" t="s">
        <v>84</v>
      </c>
      <c r="D7" s="25" t="s">
        <v>408</v>
      </c>
    </row>
    <row r="9" spans="1:4" ht="15" customHeight="1" x14ac:dyDescent="0.3">
      <c r="A9" s="20" t="s">
        <v>409</v>
      </c>
      <c r="B9" s="34">
        <f>CEILING((B5^2*B6^2)/B7^2,1)</f>
        <v>10</v>
      </c>
      <c r="D9" s="25" t="s">
        <v>410</v>
      </c>
    </row>
    <row r="11" spans="1:4" ht="18" customHeight="1" x14ac:dyDescent="0.3">
      <c r="A11" s="51" t="s">
        <v>411</v>
      </c>
      <c r="B11" s="51"/>
      <c r="C11" s="51"/>
      <c r="D11" s="51"/>
    </row>
    <row r="12" spans="1:4" ht="15" customHeight="1" x14ac:dyDescent="0.3">
      <c r="A12" s="20" t="s">
        <v>412</v>
      </c>
      <c r="B12" s="21">
        <v>0.01</v>
      </c>
      <c r="C12" s="22" t="s">
        <v>153</v>
      </c>
    </row>
    <row r="13" spans="1:4" ht="15" customHeight="1" x14ac:dyDescent="0.3">
      <c r="A13" s="20" t="s">
        <v>413</v>
      </c>
      <c r="B13" s="21">
        <v>0.05</v>
      </c>
      <c r="C13" s="22" t="s">
        <v>153</v>
      </c>
    </row>
    <row r="14" spans="1:4" ht="15" customHeight="1" x14ac:dyDescent="0.3">
      <c r="A14" s="20" t="s">
        <v>414</v>
      </c>
      <c r="B14" s="21">
        <v>1.645</v>
      </c>
      <c r="C14" s="22" t="s">
        <v>153</v>
      </c>
    </row>
    <row r="15" spans="1:4" ht="15" customHeight="1" x14ac:dyDescent="0.3">
      <c r="A15" s="20" t="s">
        <v>415</v>
      </c>
      <c r="B15" s="21">
        <v>0.84199999999999997</v>
      </c>
      <c r="C15" s="22" t="s">
        <v>153</v>
      </c>
    </row>
    <row r="17" spans="1:4" ht="15" customHeight="1" x14ac:dyDescent="0.3">
      <c r="A17" s="20" t="s">
        <v>416</v>
      </c>
      <c r="B17" s="34">
        <f>CEILING((B14*SQRT(2*((B12+B13)/2)*(1-(B12+B13)/2))+B15*SQRT(B12*(1-B12)+B13*(1-B13)))^2/(B13-B12)^2,1)</f>
        <v>224</v>
      </c>
    </row>
    <row r="19" spans="1:4" ht="18" customHeight="1" x14ac:dyDescent="0.3">
      <c r="A19" s="51" t="s">
        <v>417</v>
      </c>
      <c r="B19" s="51"/>
      <c r="C19" s="51"/>
      <c r="D19" s="51"/>
    </row>
    <row r="20" spans="1:4" ht="15" customHeight="1" x14ac:dyDescent="0.3">
      <c r="A20" s="1" t="s">
        <v>418</v>
      </c>
      <c r="B20" s="1" t="s">
        <v>419</v>
      </c>
      <c r="C20" s="1" t="s">
        <v>420</v>
      </c>
      <c r="D20" s="1" t="s">
        <v>421</v>
      </c>
    </row>
    <row r="21" spans="1:4" ht="15.75" customHeight="1" x14ac:dyDescent="0.3">
      <c r="A21" s="46" t="s">
        <v>422</v>
      </c>
      <c r="B21" s="12" t="s">
        <v>363</v>
      </c>
      <c r="C21" s="6">
        <v>2</v>
      </c>
      <c r="D21" s="6">
        <v>0</v>
      </c>
    </row>
    <row r="22" spans="1:4" ht="15.75" customHeight="1" x14ac:dyDescent="0.3">
      <c r="A22" s="47" t="s">
        <v>423</v>
      </c>
      <c r="B22" s="29" t="s">
        <v>366</v>
      </c>
      <c r="C22" s="48">
        <v>3</v>
      </c>
      <c r="D22" s="48">
        <v>0</v>
      </c>
    </row>
    <row r="23" spans="1:4" ht="15.75" customHeight="1" x14ac:dyDescent="0.3">
      <c r="A23" s="46" t="s">
        <v>424</v>
      </c>
      <c r="B23" s="12" t="s">
        <v>369</v>
      </c>
      <c r="C23" s="6">
        <v>5</v>
      </c>
      <c r="D23" s="6">
        <v>0</v>
      </c>
    </row>
    <row r="24" spans="1:4" ht="15.75" customHeight="1" x14ac:dyDescent="0.3">
      <c r="A24" s="47" t="s">
        <v>425</v>
      </c>
      <c r="B24" s="29" t="s">
        <v>426</v>
      </c>
      <c r="C24" s="48">
        <v>8</v>
      </c>
      <c r="D24" s="48">
        <v>0</v>
      </c>
    </row>
    <row r="25" spans="1:4" ht="15.75" customHeight="1" x14ac:dyDescent="0.3">
      <c r="A25" s="46" t="s">
        <v>427</v>
      </c>
      <c r="B25" s="12" t="s">
        <v>428</v>
      </c>
      <c r="C25" s="6">
        <v>13</v>
      </c>
      <c r="D25" s="6">
        <v>0</v>
      </c>
    </row>
    <row r="26" spans="1:4" ht="15.75" customHeight="1" x14ac:dyDescent="0.3">
      <c r="A26" s="47" t="s">
        <v>429</v>
      </c>
      <c r="B26" s="29" t="s">
        <v>430</v>
      </c>
      <c r="C26" s="48">
        <v>20</v>
      </c>
      <c r="D26" s="48">
        <v>1</v>
      </c>
    </row>
    <row r="27" spans="1:4" ht="15.75" customHeight="1" x14ac:dyDescent="0.3">
      <c r="A27" s="46" t="s">
        <v>431</v>
      </c>
      <c r="B27" s="12" t="s">
        <v>432</v>
      </c>
      <c r="C27" s="6">
        <v>32</v>
      </c>
      <c r="D27" s="6">
        <v>1</v>
      </c>
    </row>
    <row r="28" spans="1:4" ht="15.75" customHeight="1" x14ac:dyDescent="0.3">
      <c r="A28" s="47" t="s">
        <v>433</v>
      </c>
      <c r="B28" s="29" t="s">
        <v>434</v>
      </c>
      <c r="C28" s="48">
        <v>50</v>
      </c>
      <c r="D28" s="48">
        <v>2</v>
      </c>
    </row>
    <row r="29" spans="1:4" ht="15.75" customHeight="1" x14ac:dyDescent="0.3">
      <c r="A29" s="46" t="s">
        <v>435</v>
      </c>
      <c r="B29" s="12" t="s">
        <v>436</v>
      </c>
      <c r="C29" s="6">
        <v>80</v>
      </c>
      <c r="D29" s="6">
        <v>3</v>
      </c>
    </row>
    <row r="30" spans="1:4" ht="15.75" customHeight="1" x14ac:dyDescent="0.3">
      <c r="A30" s="47" t="s">
        <v>437</v>
      </c>
      <c r="B30" s="29" t="s">
        <v>438</v>
      </c>
      <c r="C30" s="48">
        <v>125</v>
      </c>
      <c r="D30" s="48">
        <v>5</v>
      </c>
    </row>
    <row r="31" spans="1:4" ht="15.75" customHeight="1" x14ac:dyDescent="0.3">
      <c r="A31" s="46" t="s">
        <v>439</v>
      </c>
      <c r="B31" s="12" t="s">
        <v>440</v>
      </c>
      <c r="C31" s="6">
        <v>200</v>
      </c>
      <c r="D31" s="6">
        <v>7</v>
      </c>
    </row>
    <row r="32" spans="1:4" ht="15.75" customHeight="1" x14ac:dyDescent="0.3">
      <c r="A32" s="47" t="s">
        <v>441</v>
      </c>
      <c r="B32" s="29" t="s">
        <v>442</v>
      </c>
      <c r="C32" s="48">
        <v>315</v>
      </c>
      <c r="D32" s="48">
        <v>10</v>
      </c>
    </row>
  </sheetData>
  <mergeCells count="5">
    <mergeCell ref="A1:D1"/>
    <mergeCell ref="A2:D2"/>
    <mergeCell ref="A4:D4"/>
    <mergeCell ref="A11:D11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showGridLines="0" topLeftCell="A22" zoomScaleNormal="100" workbookViewId="0">
      <selection sqref="A1:D1"/>
    </sheetView>
  </sheetViews>
  <sheetFormatPr defaultColWidth="8.6640625" defaultRowHeight="14.4" x14ac:dyDescent="0.3"/>
  <cols>
    <col min="1" max="1" width="26" bestFit="1" customWidth="1"/>
    <col min="2" max="2" width="30.5546875" bestFit="1" customWidth="1"/>
    <col min="3" max="4" width="25.6640625" bestFit="1" customWidth="1"/>
  </cols>
  <sheetData>
    <row r="1" spans="1:4" ht="30" customHeight="1" x14ac:dyDescent="0.3">
      <c r="A1" s="50" t="s">
        <v>443</v>
      </c>
      <c r="B1" s="50"/>
      <c r="C1" s="50"/>
      <c r="D1" s="50"/>
    </row>
    <row r="2" spans="1:4" ht="18" customHeight="1" x14ac:dyDescent="0.3">
      <c r="A2" s="51" t="s">
        <v>444</v>
      </c>
      <c r="B2" s="51"/>
      <c r="C2" s="51"/>
      <c r="D2" s="51"/>
    </row>
    <row r="4" spans="1:4" ht="18" customHeight="1" x14ac:dyDescent="0.3">
      <c r="A4" s="51" t="s">
        <v>445</v>
      </c>
      <c r="B4" s="51"/>
      <c r="C4" s="51"/>
      <c r="D4" s="51"/>
    </row>
    <row r="5" spans="1:4" ht="15" customHeight="1" x14ac:dyDescent="0.3">
      <c r="B5" s="1" t="s">
        <v>446</v>
      </c>
      <c r="C5" s="1" t="s">
        <v>447</v>
      </c>
    </row>
    <row r="6" spans="1:4" ht="15" customHeight="1" x14ac:dyDescent="0.3">
      <c r="A6" s="22" t="s">
        <v>448</v>
      </c>
      <c r="B6" s="21">
        <v>5</v>
      </c>
      <c r="C6" s="49">
        <v>4</v>
      </c>
    </row>
    <row r="7" spans="1:4" ht="15" customHeight="1" x14ac:dyDescent="0.3">
      <c r="A7" s="22" t="s">
        <v>449</v>
      </c>
      <c r="B7" s="21">
        <v>7</v>
      </c>
      <c r="C7" s="49">
        <v>5</v>
      </c>
    </row>
    <row r="8" spans="1:4" ht="15" customHeight="1" x14ac:dyDescent="0.3">
      <c r="A8" s="22" t="s">
        <v>450</v>
      </c>
      <c r="B8" s="21">
        <v>8</v>
      </c>
      <c r="C8" s="49">
        <v>6</v>
      </c>
    </row>
    <row r="9" spans="1:4" ht="15" customHeight="1" x14ac:dyDescent="0.3">
      <c r="A9" s="22" t="s">
        <v>451</v>
      </c>
      <c r="B9" s="21">
        <v>6</v>
      </c>
      <c r="C9" s="49">
        <v>5</v>
      </c>
    </row>
    <row r="10" spans="1:4" ht="15" customHeight="1" x14ac:dyDescent="0.3">
      <c r="A10" s="22" t="s">
        <v>452</v>
      </c>
      <c r="B10" s="21">
        <v>7</v>
      </c>
      <c r="C10" s="49">
        <v>7</v>
      </c>
    </row>
    <row r="11" spans="1:4" ht="15" customHeight="1" x14ac:dyDescent="0.3">
      <c r="A11" s="22" t="s">
        <v>453</v>
      </c>
      <c r="B11" s="21">
        <v>8</v>
      </c>
      <c r="C11" s="49">
        <v>5</v>
      </c>
    </row>
    <row r="12" spans="1:4" ht="15" customHeight="1" x14ac:dyDescent="0.3">
      <c r="A12" s="22" t="s">
        <v>454</v>
      </c>
      <c r="B12" s="21">
        <v>9</v>
      </c>
      <c r="C12" s="49">
        <v>6</v>
      </c>
    </row>
    <row r="13" spans="1:4" ht="15" customHeight="1" x14ac:dyDescent="0.3">
      <c r="A13" s="22" t="s">
        <v>455</v>
      </c>
      <c r="B13" s="21">
        <v>6</v>
      </c>
      <c r="C13" s="49">
        <v>4</v>
      </c>
    </row>
    <row r="14" spans="1:4" ht="15" customHeight="1" x14ac:dyDescent="0.3">
      <c r="A14" s="22" t="s">
        <v>456</v>
      </c>
      <c r="B14" s="21">
        <v>7</v>
      </c>
      <c r="C14" s="49">
        <v>6</v>
      </c>
    </row>
    <row r="15" spans="1:4" ht="15" customHeight="1" x14ac:dyDescent="0.3">
      <c r="A15" s="22" t="s">
        <v>457</v>
      </c>
      <c r="B15" s="21">
        <v>8</v>
      </c>
      <c r="C15" s="49">
        <v>5</v>
      </c>
    </row>
    <row r="16" spans="1:4" ht="15" customHeight="1" x14ac:dyDescent="0.3">
      <c r="A16" s="22" t="s">
        <v>458</v>
      </c>
      <c r="B16" s="21">
        <v>5</v>
      </c>
      <c r="C16" s="49">
        <v>7</v>
      </c>
    </row>
    <row r="17" spans="1:4" ht="15" customHeight="1" x14ac:dyDescent="0.3">
      <c r="A17" s="22" t="s">
        <v>459</v>
      </c>
      <c r="B17" s="21">
        <v>7</v>
      </c>
      <c r="C17" s="49">
        <v>5</v>
      </c>
    </row>
    <row r="18" spans="1:4" ht="15" customHeight="1" x14ac:dyDescent="0.3">
      <c r="A18" s="22" t="s">
        <v>460</v>
      </c>
      <c r="B18" s="21">
        <v>8</v>
      </c>
      <c r="C18" s="49">
        <v>6</v>
      </c>
    </row>
    <row r="19" spans="1:4" ht="15" customHeight="1" x14ac:dyDescent="0.3">
      <c r="A19" s="22" t="s">
        <v>461</v>
      </c>
      <c r="B19" s="21">
        <v>9</v>
      </c>
      <c r="C19" s="49">
        <v>4</v>
      </c>
    </row>
    <row r="20" spans="1:4" ht="15" customHeight="1" x14ac:dyDescent="0.3">
      <c r="A20" s="22" t="s">
        <v>462</v>
      </c>
      <c r="B20" s="21">
        <v>7</v>
      </c>
      <c r="C20" s="49">
        <v>5</v>
      </c>
    </row>
    <row r="22" spans="1:4" ht="18" customHeight="1" x14ac:dyDescent="0.3">
      <c r="A22" s="51" t="s">
        <v>463</v>
      </c>
      <c r="B22" s="51"/>
      <c r="C22" s="51"/>
      <c r="D22" s="51"/>
    </row>
    <row r="23" spans="1:4" ht="18" customHeight="1" x14ac:dyDescent="0.3">
      <c r="A23" s="20" t="s">
        <v>464</v>
      </c>
      <c r="B23" s="34">
        <f>COUNT(B6:B20)</f>
        <v>15</v>
      </c>
      <c r="D23" s="25"/>
    </row>
    <row r="24" spans="1:4" ht="18" customHeight="1" x14ac:dyDescent="0.3">
      <c r="A24" s="20" t="s">
        <v>465</v>
      </c>
      <c r="B24" s="34">
        <f>COUNT(C6:C20)</f>
        <v>15</v>
      </c>
      <c r="D24" s="25"/>
    </row>
    <row r="25" spans="1:4" ht="18" customHeight="1" x14ac:dyDescent="0.3">
      <c r="A25" s="20" t="s">
        <v>466</v>
      </c>
      <c r="B25" s="26">
        <f>MEDIAN(B6:B20)</f>
        <v>7</v>
      </c>
      <c r="D25" s="25" t="s">
        <v>467</v>
      </c>
    </row>
    <row r="26" spans="1:4" ht="18" customHeight="1" x14ac:dyDescent="0.3">
      <c r="A26" s="20" t="s">
        <v>468</v>
      </c>
      <c r="B26" s="26">
        <f>MEDIAN(C6:C20)</f>
        <v>5</v>
      </c>
      <c r="D26" s="25"/>
    </row>
    <row r="27" spans="1:4" ht="18" customHeight="1" x14ac:dyDescent="0.3">
      <c r="A27" s="20" t="s">
        <v>469</v>
      </c>
      <c r="B27" s="26">
        <f>AVERAGE(B6:B20)</f>
        <v>7.1333333333333337</v>
      </c>
      <c r="D27" s="25" t="s">
        <v>470</v>
      </c>
    </row>
    <row r="28" spans="1:4" ht="18" customHeight="1" x14ac:dyDescent="0.3">
      <c r="A28" s="20" t="s">
        <v>471</v>
      </c>
      <c r="B28" s="26">
        <f>AVERAGE(C6:C20)</f>
        <v>5.333333333333333</v>
      </c>
      <c r="D28" s="25"/>
    </row>
    <row r="29" spans="1:4" ht="18" customHeight="1" x14ac:dyDescent="0.3">
      <c r="A29" s="20" t="s">
        <v>472</v>
      </c>
      <c r="B29" s="26">
        <f>QUARTILE(B6:B20,3)-QUARTILE(B6:B20,1)</f>
        <v>1.5</v>
      </c>
      <c r="D29" s="25" t="s">
        <v>473</v>
      </c>
    </row>
    <row r="30" spans="1:4" ht="18" customHeight="1" x14ac:dyDescent="0.3">
      <c r="A30" s="20" t="s">
        <v>474</v>
      </c>
      <c r="B30" s="26">
        <f>QUARTILE(C6:C20,3)-QUARTILE(C6:C20,1)</f>
        <v>1</v>
      </c>
      <c r="D30" s="25"/>
    </row>
    <row r="31" spans="1:4" ht="18" customHeight="1" x14ac:dyDescent="0.3">
      <c r="A31" s="20" t="s">
        <v>475</v>
      </c>
      <c r="B31" s="21">
        <v>31</v>
      </c>
      <c r="D31" s="25" t="s">
        <v>476</v>
      </c>
    </row>
    <row r="32" spans="1:4" ht="18" customHeight="1" x14ac:dyDescent="0.3">
      <c r="A32" s="20" t="s">
        <v>477</v>
      </c>
      <c r="B32" s="23">
        <f>(B31-B23*B24/2)/SQRT(B23*B24*(B23+B24+1)/12)</f>
        <v>-3.3804625248211866</v>
      </c>
      <c r="D32" s="25" t="s">
        <v>478</v>
      </c>
    </row>
    <row r="33" spans="1:4" ht="18" customHeight="1" x14ac:dyDescent="0.3">
      <c r="A33" s="20" t="s">
        <v>479</v>
      </c>
      <c r="B33" s="35">
        <f>2*(1-NORMSDIST(ABS(B32)))</f>
        <v>7.2363942432462913E-4</v>
      </c>
      <c r="D33" s="25" t="s">
        <v>480</v>
      </c>
    </row>
    <row r="34" spans="1:4" ht="18" customHeight="1" x14ac:dyDescent="0.3">
      <c r="A34" s="20" t="s">
        <v>281</v>
      </c>
      <c r="B34" s="27" t="str">
        <f>IF(B33&lt;0.05,"REJECT H₀ — distributions differ","FAIL to reject H₀")</f>
        <v>REJECT H₀ — distributions differ</v>
      </c>
      <c r="D34" s="25"/>
    </row>
    <row r="36" spans="1:4" ht="18" customHeight="1" x14ac:dyDescent="0.3">
      <c r="A36" s="51" t="s">
        <v>481</v>
      </c>
      <c r="B36" s="51"/>
      <c r="C36" s="51"/>
      <c r="D36" s="51"/>
    </row>
    <row r="37" spans="1:4" ht="15" customHeight="1" x14ac:dyDescent="0.3">
      <c r="A37" s="1" t="s">
        <v>482</v>
      </c>
      <c r="B37" s="1" t="s">
        <v>483</v>
      </c>
      <c r="C37" s="1" t="s">
        <v>484</v>
      </c>
      <c r="D37" s="1" t="s">
        <v>6</v>
      </c>
    </row>
    <row r="38" spans="1:4" ht="21.75" customHeight="1" x14ac:dyDescent="0.3">
      <c r="A38" s="16" t="s">
        <v>485</v>
      </c>
      <c r="B38" s="16" t="s">
        <v>486</v>
      </c>
      <c r="C38" s="16" t="s">
        <v>487</v>
      </c>
      <c r="D38" s="16" t="s">
        <v>488</v>
      </c>
    </row>
    <row r="39" spans="1:4" ht="21.75" customHeight="1" x14ac:dyDescent="0.3">
      <c r="A39" s="13" t="s">
        <v>489</v>
      </c>
      <c r="B39" s="13" t="s">
        <v>490</v>
      </c>
      <c r="C39" s="13" t="s">
        <v>491</v>
      </c>
      <c r="D39" s="13" t="s">
        <v>492</v>
      </c>
    </row>
    <row r="40" spans="1:4" ht="21.75" customHeight="1" x14ac:dyDescent="0.3">
      <c r="A40" s="16" t="s">
        <v>493</v>
      </c>
      <c r="B40" s="16" t="s">
        <v>494</v>
      </c>
      <c r="C40" s="16" t="s">
        <v>495</v>
      </c>
      <c r="D40" s="16" t="s">
        <v>496</v>
      </c>
    </row>
    <row r="41" spans="1:4" ht="21.75" customHeight="1" x14ac:dyDescent="0.3">
      <c r="A41" s="13" t="s">
        <v>497</v>
      </c>
      <c r="B41" s="13" t="s">
        <v>498</v>
      </c>
      <c r="C41" s="13" t="s">
        <v>499</v>
      </c>
      <c r="D41" s="13" t="s">
        <v>500</v>
      </c>
    </row>
    <row r="42" spans="1:4" ht="21.75" customHeight="1" x14ac:dyDescent="0.3">
      <c r="A42" s="16" t="s">
        <v>501</v>
      </c>
      <c r="B42" s="16" t="s">
        <v>502</v>
      </c>
      <c r="C42" s="16" t="s">
        <v>503</v>
      </c>
      <c r="D42" s="16" t="s">
        <v>504</v>
      </c>
    </row>
  </sheetData>
  <mergeCells count="5">
    <mergeCell ref="A1:D1"/>
    <mergeCell ref="A2:D2"/>
    <mergeCell ref="A4:D4"/>
    <mergeCell ref="A22:D22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1-Quick Reference</vt:lpstr>
      <vt:lpstr>2-Capability</vt:lpstr>
      <vt:lpstr>3-Ctrl Charts</vt:lpstr>
      <vt:lpstr>4-MSA GRR</vt:lpstr>
      <vt:lpstr>5-Hyp Tests</vt:lpstr>
      <vt:lpstr>6-Regression</vt:lpstr>
      <vt:lpstr>7-DOE Planner</vt:lpstr>
      <vt:lpstr>8-Sampling AQL</vt:lpstr>
      <vt:lpstr>9-Non-Parametric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Matteo Ferrini</cp:lastModifiedBy>
  <cp:revision>0</cp:revision>
  <dcterms:created xsi:type="dcterms:W3CDTF">2026-03-11T21:30:57Z</dcterms:created>
  <dcterms:modified xsi:type="dcterms:W3CDTF">2026-03-12T19:55:31Z</dcterms:modified>
  <dc:language>en-US</dc:language>
</cp:coreProperties>
</file>